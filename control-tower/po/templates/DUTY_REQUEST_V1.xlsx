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0" autoFilterDateGrouping="1"/>
  </bookViews>
  <sheets>
    <sheet name="Duty Template" sheetId="1" state="visible" r:id="rId1"/>
    <sheet name="BOE Template Capt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6">
    <numFmt numFmtId="164" formatCode="[$GHS]\ #,##0.00"/>
    <numFmt numFmtId="165" formatCode="[$-409]mmmm\ d\,\ yyyy;@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GHC]\ #,##0.00_);\([$GHC]\ #,##0.00\)"/>
    <numFmt numFmtId="169" formatCode="&quot;$&quot;#,##0.00"/>
    <numFmt numFmtId="170" formatCode="0.0000"/>
    <numFmt numFmtId="171" formatCode="[$$-540A]#,##0.00"/>
    <numFmt numFmtId="172" formatCode="[$$-540A]#,##0.00_);\([$$-540A]#,##0.00\)"/>
    <numFmt numFmtId="173" formatCode="_-[$£-809]* #,##0.00_-;\-[$£-809]* #,##0.00_-;_-[$£-809]* &quot;-&quot;??_-;_-@_-"/>
    <numFmt numFmtId="174" formatCode="[$£-809]#,##0.00;\-[$£-809]#,##0.00"/>
    <numFmt numFmtId="175" formatCode="[$£-809]#,##0.00"/>
    <numFmt numFmtId="176" formatCode="[$$-409]#,##0.00"/>
    <numFmt numFmtId="177" formatCode="_([$$-409]* #,##0.00_);_([$$-409]* \(#,##0.00\);_([$$-409]* &quot;-&quot;??_);_(@_)"/>
    <numFmt numFmtId="178" formatCode="_-* #,##0.00\ [$€-407]_-;\-* #,##0.00\ [$€-407]_-;_-* &quot;-&quot;??\ [$€-407]_-;_-@_-"/>
    <numFmt numFmtId="179" formatCode="[$€-2]\ #,##0.00"/>
    <numFmt numFmtId="180" formatCode="_([$€-2]\ * #,##0.00_);_([$€-2]\ * \(#,##0.00\);_([$€-2]\ * &quot;-&quot;??_);_(@_)"/>
    <numFmt numFmtId="181" formatCode="#,##0.00\ [$€-1]"/>
    <numFmt numFmtId="182" formatCode="_ * #,##0.00_)\ [$€-1]_ ;_ * \(#,##0.00\)\ [$€-1]_ ;_ * &quot;-&quot;??_)\ [$€-1]_ ;_ @_ "/>
    <numFmt numFmtId="183" formatCode="[$-409]d\-mmm;@"/>
    <numFmt numFmtId="184" formatCode="[$$-C09]#,##0.00"/>
    <numFmt numFmtId="185" formatCode="[$$-409]#,##0.00_);\([$$-409]#,##0.00\)"/>
    <numFmt numFmtId="186" formatCode="[$R-430]#,##0.00"/>
    <numFmt numFmtId="187" formatCode="[$R-430]#,##0.00;\-[$R-430]#,##0.00"/>
    <numFmt numFmtId="188" formatCode="[$-F800]dddd\,\ mmmm\ dd\,\ yyyy"/>
    <numFmt numFmtId="189" formatCode="_([$$-540A]* #,##0.00_);_([$$-540A]* \(#,##0.00\);_([$$-540A]* &quot;-&quot;??_);_(@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  <font>
      <name val="Segoe UI"/>
      <family val="2"/>
      <sz val="10"/>
    </font>
    <font>
      <name val="Segoe UI"/>
      <family val="2"/>
      <b val="1"/>
      <sz val="20"/>
    </font>
    <font>
      <name val="Segoe UI"/>
      <family val="2"/>
      <b val="1"/>
      <sz val="12"/>
    </font>
    <font>
      <name val="Segoe UI"/>
      <family val="2"/>
      <b val="1"/>
      <sz val="14"/>
    </font>
    <font>
      <name val="Segoe UI"/>
      <family val="2"/>
      <b val="1"/>
      <sz val="11"/>
    </font>
    <font>
      <name val="Segoe UI"/>
      <family val="2"/>
      <sz val="12"/>
    </font>
    <font>
      <name val="Segoe UI"/>
      <family val="2"/>
      <sz val="14"/>
    </font>
    <font>
      <name val="Segoe UI"/>
      <family val="2"/>
      <b val="1"/>
      <sz val="18"/>
    </font>
    <font>
      <name val="Segoe UI"/>
      <family val="2"/>
      <b val="1"/>
      <color theme="1"/>
      <sz val="14"/>
    </font>
    <font>
      <name val="Segoe UI"/>
      <family val="2"/>
      <sz val="11"/>
    </font>
    <font>
      <name val="Segoe UI"/>
      <family val="2"/>
      <color rgb="FFFF0000"/>
      <sz val="6"/>
    </font>
    <font>
      <name val="Segoe UI"/>
      <family val="2"/>
      <color theme="1"/>
      <sz val="7"/>
    </font>
    <font>
      <name val="Segoe UI"/>
      <family val="2"/>
      <b val="1"/>
      <sz val="11"/>
      <u val="single"/>
    </font>
    <font>
      <name val="Segoe UI"/>
      <family val="2"/>
      <b val="1"/>
      <i val="1"/>
      <sz val="11"/>
    </font>
    <font>
      <name val="Segoe UI"/>
      <family val="2"/>
      <b val="1"/>
      <sz val="8"/>
    </font>
    <font>
      <name val="Segoe UI"/>
      <family val="2"/>
      <sz val="8"/>
    </font>
    <font>
      <name val="Segoe UI"/>
      <family val="2"/>
      <b val="1"/>
      <i val="1"/>
      <sz val="12"/>
    </font>
    <font>
      <name val="Segoe UI"/>
      <family val="2"/>
      <color theme="1"/>
      <sz val="12"/>
    </font>
    <font>
      <name val="Segoe UI"/>
      <family val="2"/>
      <b val="1"/>
      <color theme="1"/>
      <sz val="12"/>
    </font>
    <font>
      <name val="Segoe UI"/>
      <family val="2"/>
      <b val="1"/>
      <i val="1"/>
      <color theme="1"/>
      <sz val="12"/>
      <u val="single"/>
    </font>
    <font>
      <name val="Segoe UI"/>
      <family val="2"/>
      <b val="1"/>
      <sz val="10"/>
    </font>
    <font>
      <name val="Tahoma"/>
      <family val="2"/>
      <b val="1"/>
      <sz val="13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sz val="20"/>
    </font>
    <font>
      <name val="Tahoma"/>
      <family val="2"/>
      <color theme="1"/>
      <sz val="11"/>
    </font>
    <font>
      <name val="Tahoma"/>
      <family val="2"/>
      <b val="1"/>
      <sz val="12"/>
    </font>
    <font>
      <name val="Tahoma"/>
      <family val="2"/>
      <b val="1"/>
      <sz val="14"/>
    </font>
    <font>
      <name val="Tahoma"/>
      <family val="2"/>
      <sz val="14"/>
    </font>
    <font>
      <name val="Tahoma"/>
      <family val="2"/>
      <b val="1"/>
      <sz val="18"/>
    </font>
    <font>
      <name val="Tahoma"/>
      <family val="2"/>
      <b val="1"/>
      <sz val="11"/>
    </font>
    <font>
      <name val="Tahoma"/>
      <family val="2"/>
      <b val="1"/>
      <color theme="1"/>
      <sz val="14"/>
    </font>
    <font>
      <name val="Tahoma"/>
      <family val="2"/>
      <b val="1"/>
      <color theme="1"/>
      <sz val="11"/>
    </font>
    <font>
      <name val="Tahoma"/>
      <family val="2"/>
      <sz val="12"/>
    </font>
    <font>
      <name val="Tahoma"/>
      <family val="2"/>
      <sz val="11"/>
    </font>
    <font>
      <name val="Tahoma"/>
      <family val="2"/>
      <color rgb="FFFF0000"/>
      <sz val="6"/>
    </font>
    <font>
      <name val="Tahoma"/>
      <family val="2"/>
      <color theme="1"/>
      <sz val="7"/>
    </font>
    <font>
      <name val="Tahoma"/>
      <family val="2"/>
      <b val="1"/>
      <sz val="11"/>
      <u val="single"/>
    </font>
    <font>
      <name val="Tahoma"/>
      <family val="2"/>
      <b val="1"/>
      <i val="1"/>
      <sz val="11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12"/>
    </font>
    <font>
      <name val="Tahoma"/>
      <family val="2"/>
      <b val="1"/>
      <i val="1"/>
      <color theme="1"/>
      <sz val="12"/>
      <u val="single"/>
    </font>
    <font>
      <name val="Tahoma"/>
      <family val="2"/>
      <color theme="1"/>
      <sz val="12"/>
    </font>
    <font>
      <name val="Tahoma"/>
      <family val="2"/>
      <b val="1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Segoe UI"/>
      <family val="2"/>
      <b val="1"/>
      <color theme="1"/>
      <sz val="11"/>
      <u val="singleAccounting"/>
    </font>
    <font>
      <name val="Segoe UI"/>
      <family val="2"/>
      <b val="1"/>
      <color theme="1"/>
      <sz val="14"/>
      <u val="singleAccounting"/>
    </font>
    <font>
      <name val="Aptos"/>
      <family val="2"/>
      <sz val="11"/>
    </font>
    <font>
      <name val="Segoe UI"/>
      <family val="2"/>
      <b val="1"/>
      <sz val="16"/>
    </font>
    <font>
      <name val="Aptos"/>
      <family val="2"/>
      <b val="1"/>
      <color theme="1"/>
      <sz val="11"/>
    </font>
    <font>
      <name val="Times New Roman"/>
      <family val="1"/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0499893185216834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45">
    <xf numFmtId="0" fontId="0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5" fillId="0" borderId="2" pivotButton="0" quotePrefix="0" xfId="0"/>
    <xf numFmtId="0" fontId="4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8" applyAlignment="1" pivotButton="0" quotePrefix="1" xfId="0">
      <alignment horizontal="center"/>
    </xf>
    <xf numFmtId="0" fontId="6" fillId="0" borderId="7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164" fontId="6" fillId="0" borderId="8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indent="1"/>
    </xf>
    <xf numFmtId="0" fontId="6" fillId="0" borderId="8" applyAlignment="1" pivotButton="0" quotePrefix="0" xfId="0">
      <alignment horizontal="left" indent="1"/>
    </xf>
    <xf numFmtId="0" fontId="6" fillId="0" borderId="7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165" fontId="6" fillId="0" borderId="8" applyAlignment="1" pivotButton="0" quotePrefix="0" xfId="0">
      <alignment horizontal="center"/>
    </xf>
    <xf numFmtId="0" fontId="7" fillId="0" borderId="7" applyAlignment="1" pivotButton="0" quotePrefix="0" xfId="0">
      <alignment horizontal="right" wrapText="1"/>
    </xf>
    <xf numFmtId="0" fontId="7" fillId="0" borderId="0" applyAlignment="1" pivotButton="0" quotePrefix="0" xfId="0">
      <alignment horizontal="left"/>
    </xf>
    <xf numFmtId="0" fontId="6" fillId="0" borderId="21" pivotButton="0" quotePrefix="0" xfId="0"/>
    <xf numFmtId="0" fontId="10" fillId="0" borderId="25" applyAlignment="1" pivotButton="0" quotePrefix="0" xfId="0">
      <alignment horizontal="left" vertical="center" wrapText="1"/>
    </xf>
    <xf numFmtId="0" fontId="10" fillId="0" borderId="26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 wrapText="1"/>
    </xf>
    <xf numFmtId="166" fontId="8" fillId="0" borderId="3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3" fillId="0" borderId="7" pivotButton="0" quotePrefix="0" xfId="0"/>
    <xf numFmtId="0" fontId="9" fillId="0" borderId="30" pivotButton="0" quotePrefix="0" xfId="0"/>
    <xf numFmtId="0" fontId="9" fillId="0" borderId="31" pivotButton="0" quotePrefix="0" xfId="0"/>
    <xf numFmtId="167" fontId="9" fillId="0" borderId="32" pivotButton="0" quotePrefix="0" xfId="1"/>
    <xf numFmtId="0" fontId="9" fillId="0" borderId="33" pivotButton="0" quotePrefix="0" xfId="0"/>
    <xf numFmtId="0" fontId="9" fillId="0" borderId="34" pivotButton="0" quotePrefix="0" xfId="0"/>
    <xf numFmtId="167" fontId="9" fillId="0" borderId="35" pivotButton="0" quotePrefix="0" xfId="1"/>
    <xf numFmtId="0" fontId="13" fillId="0" borderId="7" pivotButton="0" quotePrefix="0" xfId="0"/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3">
      <alignment horizontal="center"/>
    </xf>
    <xf numFmtId="0" fontId="3" fillId="0" borderId="11" applyAlignment="1" pivotButton="0" quotePrefix="0" xfId="0">
      <alignment horizontal="center"/>
    </xf>
    <xf numFmtId="0" fontId="6" fillId="4" borderId="37" applyAlignment="1" pivotButton="0" quotePrefix="0" xfId="0">
      <alignment horizontal="left"/>
    </xf>
    <xf numFmtId="0" fontId="6" fillId="4" borderId="38" pivotButton="0" quotePrefix="0" xfId="0"/>
    <xf numFmtId="0" fontId="2" fillId="4" borderId="21" pivotButton="0" quotePrefix="0" xfId="0"/>
    <xf numFmtId="10" fontId="2" fillId="4" borderId="22" applyAlignment="1" pivotButton="0" quotePrefix="0" xfId="0">
      <alignment horizontal="center"/>
    </xf>
    <xf numFmtId="167" fontId="9" fillId="0" borderId="35" applyAlignment="1" pivotButton="0" quotePrefix="0" xfId="1">
      <alignment horizontal="left" vertical="center"/>
    </xf>
    <xf numFmtId="2" fontId="2" fillId="0" borderId="0" pivotButton="0" quotePrefix="0" xfId="0"/>
    <xf numFmtId="0" fontId="9" fillId="0" borderId="33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2" fillId="4" borderId="14" pivotButton="0" quotePrefix="0" xfId="0"/>
    <xf numFmtId="10" fontId="2" fillId="4" borderId="22" applyAlignment="1" pivotButton="0" quotePrefix="0" xfId="3">
      <alignment horizontal="center"/>
    </xf>
    <xf numFmtId="0" fontId="9" fillId="0" borderId="39" applyAlignment="1" pivotButton="0" quotePrefix="0" xfId="0">
      <alignment horizontal="left"/>
    </xf>
    <xf numFmtId="167" fontId="9" fillId="0" borderId="40" pivotButton="0" quotePrefix="0" xfId="1"/>
    <xf numFmtId="0" fontId="9" fillId="0" borderId="41" pivotButton="0" quotePrefix="0" xfId="0"/>
    <xf numFmtId="167" fontId="9" fillId="0" borderId="42" pivotButton="0" quotePrefix="0" xfId="1"/>
    <xf numFmtId="0" fontId="14" fillId="4" borderId="28" applyAlignment="1" pivotButton="0" quotePrefix="0" xfId="0">
      <alignment horizontal="left"/>
    </xf>
    <xf numFmtId="0" fontId="15" fillId="4" borderId="25" applyAlignment="1" pivotButton="0" quotePrefix="0" xfId="0">
      <alignment horizontal="center"/>
    </xf>
    <xf numFmtId="0" fontId="7" fillId="0" borderId="43" applyAlignment="1" pivotButton="0" quotePrefix="0" xfId="0">
      <alignment horizontal="left" vertical="center"/>
    </xf>
    <xf numFmtId="0" fontId="7" fillId="0" borderId="44" applyAlignment="1" pivotButton="0" quotePrefix="0" xfId="0">
      <alignment horizontal="left" vertical="center"/>
    </xf>
    <xf numFmtId="168" fontId="7" fillId="0" borderId="9" applyAlignment="1" pivotButton="0" quotePrefix="0" xfId="0">
      <alignment vertical="center" wrapText="1"/>
    </xf>
    <xf numFmtId="0" fontId="16" fillId="0" borderId="45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167" fontId="16" fillId="0" borderId="13" applyAlignment="1" pivotButton="0" quotePrefix="0" xfId="0">
      <alignment horizontal="center" vertical="center" wrapText="1"/>
    </xf>
    <xf numFmtId="0" fontId="8" fillId="0" borderId="46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47" applyAlignment="1" pivotButton="0" quotePrefix="0" xfId="0">
      <alignment vertical="center"/>
    </xf>
    <xf numFmtId="0" fontId="17" fillId="0" borderId="15" pivotButton="0" quotePrefix="0" xfId="0"/>
    <xf numFmtId="169" fontId="13" fillId="0" borderId="16" pivotButton="0" quotePrefix="0" xfId="0"/>
    <xf numFmtId="166" fontId="13" fillId="0" borderId="17" pivotButton="0" quotePrefix="0" xfId="0"/>
    <xf numFmtId="0" fontId="8" fillId="0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17" fillId="0" borderId="49" pivotButton="0" quotePrefix="0" xfId="0"/>
    <xf numFmtId="169" fontId="13" fillId="0" borderId="0" pivotButton="0" quotePrefix="0" xfId="0"/>
    <xf numFmtId="166" fontId="13" fillId="0" borderId="8" pivotButton="0" quotePrefix="0" xfId="0"/>
    <xf numFmtId="0" fontId="6" fillId="0" borderId="7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48" applyAlignment="1" pivotButton="0" quotePrefix="0" xfId="0">
      <alignment vertical="center"/>
    </xf>
    <xf numFmtId="0" fontId="19" fillId="0" borderId="49" pivotButton="0" quotePrefix="0" xfId="0"/>
    <xf numFmtId="0" fontId="18" fillId="0" borderId="0" applyAlignment="1" pivotButton="0" quotePrefix="0" xfId="0">
      <alignment horizontal="right"/>
    </xf>
    <xf numFmtId="166" fontId="19" fillId="0" borderId="8" pivotButton="0" quotePrefix="0" xfId="0"/>
    <xf numFmtId="0" fontId="18" fillId="0" borderId="7" applyAlignment="1" pivotButton="0" quotePrefix="0" xfId="0">
      <alignment vertical="center"/>
    </xf>
    <xf numFmtId="0" fontId="18" fillId="0" borderId="18" pivotButton="0" quotePrefix="0" xfId="0"/>
    <xf numFmtId="0" fontId="18" fillId="0" borderId="19" applyAlignment="1" pivotButton="0" quotePrefix="0" xfId="0">
      <alignment horizontal="right"/>
    </xf>
    <xf numFmtId="166" fontId="19" fillId="0" borderId="20" pivotButton="0" quotePrefix="0" xfId="0"/>
    <xf numFmtId="0" fontId="18" fillId="0" borderId="16" applyAlignment="1" pivotButton="0" quotePrefix="0" xfId="0">
      <alignment vertical="center"/>
    </xf>
    <xf numFmtId="0" fontId="18" fillId="0" borderId="47" applyAlignment="1" pivotButton="0" quotePrefix="0" xfId="0">
      <alignment vertical="center"/>
    </xf>
    <xf numFmtId="0" fontId="6" fillId="0" borderId="16" pivotButton="0" quotePrefix="0" xfId="0"/>
    <xf numFmtId="0" fontId="18" fillId="0" borderId="16" applyAlignment="1" pivotButton="0" quotePrefix="0" xfId="0">
      <alignment horizontal="right"/>
    </xf>
    <xf numFmtId="166" fontId="19" fillId="0" borderId="17" pivotButton="0" quotePrefix="0" xfId="0"/>
    <xf numFmtId="0" fontId="20" fillId="0" borderId="7" pivotButton="0" quotePrefix="0" xfId="0"/>
    <xf numFmtId="169" fontId="19" fillId="0" borderId="0" pivotButton="0" quotePrefix="0" xfId="0"/>
    <xf numFmtId="0" fontId="18" fillId="0" borderId="48" pivotButton="0" quotePrefix="0" xfId="0"/>
    <xf numFmtId="0" fontId="19" fillId="0" borderId="0" pivotButton="0" quotePrefix="0" xfId="0"/>
    <xf numFmtId="166" fontId="18" fillId="0" borderId="8" pivotButton="0" quotePrefix="0" xfId="0"/>
    <xf numFmtId="0" fontId="18" fillId="0" borderId="10" applyAlignment="1" pivotButton="0" quotePrefix="0" xfId="0">
      <alignment vertical="center"/>
    </xf>
    <xf numFmtId="169" fontId="19" fillId="0" borderId="11" pivotButton="0" quotePrefix="0" xfId="0"/>
    <xf numFmtId="0" fontId="18" fillId="0" borderId="50" pivotButton="0" quotePrefix="0" xfId="0"/>
    <xf numFmtId="166" fontId="18" fillId="0" borderId="9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horizontal="left"/>
    </xf>
    <xf numFmtId="166" fontId="18" fillId="0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1" fillId="3" borderId="3" pivotButton="0" quotePrefix="0" xfId="0"/>
    <xf numFmtId="0" fontId="21" fillId="3" borderId="7" pivotButton="0" quotePrefix="0" xfId="0"/>
    <xf numFmtId="0" fontId="21" fillId="3" borderId="8" pivotButton="0" quotePrefix="0" xfId="0"/>
    <xf numFmtId="0" fontId="22" fillId="3" borderId="7" pivotButton="0" quotePrefix="0" xfId="0"/>
    <xf numFmtId="0" fontId="21" fillId="3" borderId="10" pivotButton="0" quotePrefix="0" xfId="0"/>
    <xf numFmtId="0" fontId="21" fillId="3" borderId="11" pivotButton="0" quotePrefix="0" xfId="0"/>
    <xf numFmtId="0" fontId="21" fillId="3" borderId="9" pivotButton="0" quotePrefix="0" xfId="0"/>
    <xf numFmtId="0" fontId="21" fillId="3" borderId="48" pivotButton="0" quotePrefix="0" xfId="0"/>
    <xf numFmtId="0" fontId="21" fillId="3" borderId="50" pivotButton="0" quotePrefix="0" xfId="0"/>
    <xf numFmtId="0" fontId="24" fillId="0" borderId="2" pivotButton="0" quotePrefix="0" xfId="0"/>
    <xf numFmtId="0" fontId="21" fillId="3" borderId="49" pivotButton="0" quotePrefix="0" xfId="0"/>
    <xf numFmtId="0" fontId="21" fillId="3" borderId="18" pivotButton="0" quotePrefix="0" xfId="0"/>
    <xf numFmtId="0" fontId="21" fillId="3" borderId="19" pivotButton="0" quotePrefix="0" xfId="0"/>
    <xf numFmtId="0" fontId="21" fillId="3" borderId="20" pivotButton="0" quotePrefix="0" xfId="0"/>
    <xf numFmtId="0" fontId="21" fillId="3" borderId="27" pivotButton="0" quotePrefix="0" xfId="0"/>
    <xf numFmtId="0" fontId="21" fillId="3" borderId="53" pivotButton="0" quotePrefix="0" xfId="0"/>
    <xf numFmtId="0" fontId="2" fillId="0" borderId="7" pivotButton="0" quotePrefix="0" xfId="0"/>
    <xf numFmtId="169" fontId="3" fillId="0" borderId="0" applyAlignment="1" pivotButton="0" quotePrefix="0" xfId="2">
      <alignment horizontal="center"/>
    </xf>
    <xf numFmtId="170" fontId="3" fillId="0" borderId="0" applyAlignment="1" pivotButton="0" quotePrefix="0" xfId="1">
      <alignment horizontal="center"/>
    </xf>
    <xf numFmtId="0" fontId="13" fillId="0" borderId="0" applyAlignment="1" pivotButton="0" quotePrefix="0" xfId="0">
      <alignment horizontal="center"/>
    </xf>
    <xf numFmtId="0" fontId="6" fillId="4" borderId="12" pivotButton="0" quotePrefix="0" xfId="0"/>
    <xf numFmtId="10" fontId="2" fillId="4" borderId="23" applyAlignment="1" pivotButton="0" quotePrefix="0" xfId="0">
      <alignment horizontal="center"/>
    </xf>
    <xf numFmtId="10" fontId="2" fillId="4" borderId="23" applyAlignment="1" pivotButton="0" quotePrefix="0" xfId="3">
      <alignment horizontal="center"/>
    </xf>
    <xf numFmtId="0" fontId="2" fillId="0" borderId="10" pivotButton="0" quotePrefix="0" xfId="0"/>
    <xf numFmtId="171" fontId="3" fillId="0" borderId="0" applyAlignment="1" pivotButton="0" quotePrefix="0" xfId="2">
      <alignment horizontal="center"/>
    </xf>
    <xf numFmtId="172" fontId="3" fillId="0" borderId="0" applyAlignment="1" pivotButton="0" quotePrefix="0" xfId="0">
      <alignment horizontal="center"/>
    </xf>
    <xf numFmtId="0" fontId="6" fillId="0" borderId="0" applyAlignment="1" pivotButton="0" quotePrefix="1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 wrapText="1"/>
    </xf>
    <xf numFmtId="14" fontId="24" fillId="0" borderId="2" applyAlignment="1" pivotButton="0" quotePrefix="0" xfId="0">
      <alignment horizontal="left"/>
    </xf>
    <xf numFmtId="173" fontId="12" fillId="0" borderId="23" applyAlignment="1" pivotButton="0" quotePrefix="0" xfId="2">
      <alignment horizontal="center"/>
    </xf>
    <xf numFmtId="0" fontId="6" fillId="0" borderId="55" applyAlignment="1" pivotButton="0" quotePrefix="0" xfId="0">
      <alignment horizontal="center" vertical="center" wrapText="1"/>
    </xf>
    <xf numFmtId="0" fontId="7" fillId="0" borderId="36" applyAlignment="1" pivotButton="0" quotePrefix="0" xfId="0">
      <alignment horizontal="right" vertical="center"/>
    </xf>
    <xf numFmtId="0" fontId="6" fillId="2" borderId="8" applyAlignment="1" pivotButton="0" quotePrefix="0" xfId="0">
      <alignment horizontal="left" indent="1"/>
    </xf>
    <xf numFmtId="0" fontId="6" fillId="0" borderId="18" applyAlignment="1" pivotButton="0" quotePrefix="0" xfId="0">
      <alignment horizontal="left" wrapText="1"/>
    </xf>
    <xf numFmtId="0" fontId="6" fillId="0" borderId="19" applyAlignment="1" pivotButton="0" quotePrefix="0" xfId="0">
      <alignment horizontal="left" wrapText="1"/>
    </xf>
    <xf numFmtId="0" fontId="6" fillId="0" borderId="20" applyAlignment="1" pivotButton="0" quotePrefix="0" xfId="0">
      <alignment horizontal="left" wrapText="1"/>
    </xf>
    <xf numFmtId="0" fontId="12" fillId="0" borderId="36" pivotButton="0" quotePrefix="0" xfId="0"/>
    <xf numFmtId="0" fontId="25" fillId="0" borderId="33" pivotButton="0" quotePrefix="0" xfId="0"/>
    <xf numFmtId="0" fontId="25" fillId="0" borderId="56" pivotButton="0" quotePrefix="0" xfId="0"/>
    <xf numFmtId="2" fontId="3" fillId="0" borderId="0" applyAlignment="1" pivotButton="0" quotePrefix="0" xfId="1">
      <alignment horizontal="center"/>
    </xf>
    <xf numFmtId="0" fontId="26" fillId="0" borderId="1" pivotButton="0" quotePrefix="0" xfId="0"/>
    <xf numFmtId="0" fontId="26" fillId="0" borderId="2" pivotButton="0" quotePrefix="0" xfId="0"/>
    <xf numFmtId="0" fontId="27" fillId="0" borderId="2" pivotButton="0" quotePrefix="0" xfId="0"/>
    <xf numFmtId="14" fontId="27" fillId="0" borderId="2" applyAlignment="1" pivotButton="0" quotePrefix="0" xfId="0">
      <alignment horizontal="left"/>
    </xf>
    <xf numFmtId="0" fontId="28" fillId="0" borderId="2" pivotButton="0" quotePrefix="0" xfId="0"/>
    <xf numFmtId="0" fontId="29" fillId="0" borderId="0" pivotButton="0" quotePrefix="0" xfId="0"/>
    <xf numFmtId="0" fontId="30" fillId="0" borderId="4" pivotButton="0" quotePrefix="0" xfId="0"/>
    <xf numFmtId="0" fontId="30" fillId="0" borderId="5" pivotButton="0" quotePrefix="0" xfId="0"/>
    <xf numFmtId="0" fontId="30" fillId="0" borderId="7" pivotButton="0" quotePrefix="0" xfId="0"/>
    <xf numFmtId="0" fontId="30" fillId="0" borderId="0" pivotButton="0" quotePrefix="0" xfId="0"/>
    <xf numFmtId="0" fontId="30" fillId="0" borderId="0" applyAlignment="1" pivotButton="0" quotePrefix="0" xfId="0">
      <alignment horizontal="right"/>
    </xf>
    <xf numFmtId="0" fontId="30" fillId="0" borderId="8" applyAlignment="1" pivotButton="0" quotePrefix="1" xfId="0">
      <alignment horizontal="center"/>
    </xf>
    <xf numFmtId="0" fontId="30" fillId="0" borderId="7" applyAlignment="1" pivotButton="0" quotePrefix="0" xfId="0">
      <alignment horizontal="left"/>
    </xf>
    <xf numFmtId="0" fontId="30" fillId="0" borderId="0" applyAlignment="1" pivotButton="0" quotePrefix="0" xfId="0">
      <alignment horizontal="left"/>
    </xf>
    <xf numFmtId="0" fontId="30" fillId="0" borderId="7" applyAlignment="1" pivotButton="0" quotePrefix="0" xfId="0">
      <alignment horizontal="center"/>
    </xf>
    <xf numFmtId="164" fontId="30" fillId="0" borderId="8" applyAlignment="1" pivotButton="0" quotePrefix="0" xfId="1">
      <alignment horizontal="center" vertical="center"/>
    </xf>
    <xf numFmtId="0" fontId="30" fillId="0" borderId="0" applyAlignment="1" pivotButton="0" quotePrefix="0" xfId="0">
      <alignment horizontal="left" indent="1"/>
    </xf>
    <xf numFmtId="0" fontId="30" fillId="0" borderId="7" applyAlignment="1" pivotButton="0" quotePrefix="0" xfId="0">
      <alignment horizontal="center" wrapText="1"/>
    </xf>
    <xf numFmtId="0" fontId="30" fillId="0" borderId="0" applyAlignment="1" pivotButton="0" quotePrefix="0" xfId="0">
      <alignment wrapText="1"/>
    </xf>
    <xf numFmtId="0" fontId="31" fillId="0" borderId="7" applyAlignment="1" pivotButton="0" quotePrefix="0" xfId="0">
      <alignment horizontal="right" wrapText="1"/>
    </xf>
    <xf numFmtId="0" fontId="31" fillId="0" borderId="0" applyAlignment="1" pivotButton="0" quotePrefix="0" xfId="0">
      <alignment horizontal="left"/>
    </xf>
    <xf numFmtId="0" fontId="31" fillId="0" borderId="36" applyAlignment="1" pivotButton="0" quotePrefix="0" xfId="0">
      <alignment horizontal="right" vertical="center"/>
    </xf>
    <xf numFmtId="0" fontId="30" fillId="0" borderId="21" pivotButton="0" quotePrefix="0" xfId="0"/>
    <xf numFmtId="0" fontId="30" fillId="0" borderId="18" applyAlignment="1" pivotButton="0" quotePrefix="0" xfId="0">
      <alignment horizontal="left" wrapText="1"/>
    </xf>
    <xf numFmtId="0" fontId="30" fillId="0" borderId="19" applyAlignment="1" pivotButton="0" quotePrefix="0" xfId="0">
      <alignment horizontal="left" wrapText="1"/>
    </xf>
    <xf numFmtId="0" fontId="30" fillId="0" borderId="14" applyAlignment="1" pivotButton="0" quotePrefix="0" xfId="0">
      <alignment horizontal="center" vertical="center" wrapText="1"/>
    </xf>
    <xf numFmtId="0" fontId="32" fillId="0" borderId="15" applyAlignment="1" pivotButton="0" quotePrefix="0" xfId="0">
      <alignment horizontal="left" vertical="center"/>
    </xf>
    <xf numFmtId="0" fontId="32" fillId="0" borderId="16" applyAlignment="1" pivotButton="0" quotePrefix="0" xfId="0">
      <alignment horizontal="left" vertical="center" wrapText="1"/>
    </xf>
    <xf numFmtId="0" fontId="32" fillId="0" borderId="25" applyAlignment="1" pivotButton="0" quotePrefix="0" xfId="0">
      <alignment horizontal="left" vertical="center" wrapText="1"/>
    </xf>
    <xf numFmtId="0" fontId="32" fillId="0" borderId="26" applyAlignment="1" pivotButton="0" quotePrefix="0" xfId="0">
      <alignment horizontal="left" vertical="center" wrapText="1"/>
    </xf>
    <xf numFmtId="166" fontId="34" fillId="0" borderId="1" applyAlignment="1" pivotButton="0" quotePrefix="0" xfId="0">
      <alignment horizontal="left" vertical="center"/>
    </xf>
    <xf numFmtId="166" fontId="34" fillId="0" borderId="2" applyAlignment="1" pivotButton="0" quotePrefix="0" xfId="0">
      <alignment horizontal="center" vertical="center" wrapText="1"/>
    </xf>
    <xf numFmtId="166" fontId="34" fillId="0" borderId="3" applyAlignment="1" pivotButton="0" quotePrefix="0" xfId="0">
      <alignment horizontal="center" vertical="center" wrapText="1"/>
    </xf>
    <xf numFmtId="0" fontId="35" fillId="0" borderId="36" pivotButton="0" quotePrefix="0" xfId="0"/>
    <xf numFmtId="173" fontId="35" fillId="0" borderId="23" applyAlignment="1" pivotButton="0" quotePrefix="0" xfId="2">
      <alignment horizontal="center"/>
    </xf>
    <xf numFmtId="0" fontId="30" fillId="0" borderId="28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30" fillId="0" borderId="55" applyAlignment="1" pivotButton="0" quotePrefix="0" xfId="0">
      <alignment horizontal="center" vertical="center" wrapText="1"/>
    </xf>
    <xf numFmtId="0" fontId="36" fillId="0" borderId="7" pivotButton="0" quotePrefix="0" xfId="0"/>
    <xf numFmtId="172" fontId="36" fillId="0" borderId="0" applyAlignment="1" pivotButton="0" quotePrefix="0" xfId="0">
      <alignment horizontal="center"/>
    </xf>
    <xf numFmtId="169" fontId="36" fillId="0" borderId="0" applyAlignment="1" pivotButton="0" quotePrefix="0" xfId="2">
      <alignment horizontal="center"/>
    </xf>
    <xf numFmtId="0" fontId="37" fillId="0" borderId="30" pivotButton="0" quotePrefix="0" xfId="0"/>
    <xf numFmtId="0" fontId="37" fillId="0" borderId="31" pivotButton="0" quotePrefix="0" xfId="0"/>
    <xf numFmtId="0" fontId="36" fillId="0" borderId="0" applyAlignment="1" pivotButton="0" quotePrefix="0" xfId="0">
      <alignment horizontal="center"/>
    </xf>
    <xf numFmtId="0" fontId="37" fillId="0" borderId="33" pivotButton="0" quotePrefix="0" xfId="0"/>
    <xf numFmtId="0" fontId="37" fillId="0" borderId="34" pivotButton="0" quotePrefix="0" xfId="0"/>
    <xf numFmtId="2" fontId="36" fillId="0" borderId="0" applyAlignment="1" pivotButton="0" quotePrefix="0" xfId="1">
      <alignment horizontal="center"/>
    </xf>
    <xf numFmtId="170" fontId="36" fillId="0" borderId="0" applyAlignment="1" pivotButton="0" quotePrefix="0" xfId="1">
      <alignment horizontal="center"/>
    </xf>
    <xf numFmtId="0" fontId="38" fillId="0" borderId="7" pivotButton="0" quotePrefix="0" xfId="0"/>
    <xf numFmtId="0" fontId="38" fillId="0" borderId="0" applyAlignment="1" pivotButton="0" quotePrefix="0" xfId="0">
      <alignment horizontal="center"/>
    </xf>
    <xf numFmtId="0" fontId="30" fillId="0" borderId="0" applyAlignment="1" pivotButton="0" quotePrefix="1" xfId="0">
      <alignment horizontal="center"/>
    </xf>
    <xf numFmtId="171" fontId="36" fillId="0" borderId="0" applyAlignment="1" pivotButton="0" quotePrefix="0" xfId="2">
      <alignment horizontal="center"/>
    </xf>
    <xf numFmtId="10" fontId="36" fillId="0" borderId="0" applyAlignment="1" pivotButton="0" quotePrefix="0" xfId="3">
      <alignment horizontal="center"/>
    </xf>
    <xf numFmtId="0" fontId="36" fillId="0" borderId="11" applyAlignment="1" pivotButton="0" quotePrefix="0" xfId="0">
      <alignment horizontal="center"/>
    </xf>
    <xf numFmtId="0" fontId="30" fillId="4" borderId="37" applyAlignment="1" pivotButton="0" quotePrefix="0" xfId="0">
      <alignment horizontal="left"/>
    </xf>
    <xf numFmtId="0" fontId="30" fillId="4" borderId="38" pivotButton="0" quotePrefix="0" xfId="0"/>
    <xf numFmtId="0" fontId="30" fillId="4" borderId="12" pivotButton="0" quotePrefix="0" xfId="0"/>
    <xf numFmtId="0" fontId="29" fillId="4" borderId="21" pivotButton="0" quotePrefix="0" xfId="0"/>
    <xf numFmtId="10" fontId="29" fillId="4" borderId="22" applyAlignment="1" pivotButton="0" quotePrefix="0" xfId="0">
      <alignment horizontal="center"/>
    </xf>
    <xf numFmtId="10" fontId="29" fillId="4" borderId="23" applyAlignment="1" pivotButton="0" quotePrefix="0" xfId="0">
      <alignment horizontal="center"/>
    </xf>
    <xf numFmtId="167" fontId="37" fillId="0" borderId="35" applyAlignment="1" pivotButton="0" quotePrefix="0" xfId="1">
      <alignment horizontal="left" vertical="center"/>
    </xf>
    <xf numFmtId="0" fontId="37" fillId="0" borderId="33" applyAlignment="1" pivotButton="0" quotePrefix="0" xfId="0">
      <alignment vertical="center"/>
    </xf>
    <xf numFmtId="0" fontId="37" fillId="0" borderId="34" applyAlignment="1" pivotButton="0" quotePrefix="0" xfId="0">
      <alignment vertical="center"/>
    </xf>
    <xf numFmtId="0" fontId="29" fillId="4" borderId="14" pivotButton="0" quotePrefix="0" xfId="0"/>
    <xf numFmtId="10" fontId="29" fillId="4" borderId="22" applyAlignment="1" pivotButton="0" quotePrefix="0" xfId="3">
      <alignment horizontal="center"/>
    </xf>
    <xf numFmtId="10" fontId="29" fillId="4" borderId="23" applyAlignment="1" pivotButton="0" quotePrefix="0" xfId="3">
      <alignment horizontal="center"/>
    </xf>
    <xf numFmtId="0" fontId="37" fillId="0" borderId="39" applyAlignment="1" pivotButton="0" quotePrefix="0" xfId="0">
      <alignment horizontal="left"/>
    </xf>
    <xf numFmtId="0" fontId="29" fillId="0" borderId="10" pivotButton="0" quotePrefix="0" xfId="0"/>
    <xf numFmtId="0" fontId="37" fillId="0" borderId="41" pivotButton="0" quotePrefix="0" xfId="0"/>
    <xf numFmtId="0" fontId="39" fillId="4" borderId="28" applyAlignment="1" pivotButton="0" quotePrefix="0" xfId="0">
      <alignment horizontal="left"/>
    </xf>
    <xf numFmtId="0" fontId="40" fillId="4" borderId="25" applyAlignment="1" pivotButton="0" quotePrefix="0" xfId="0">
      <alignment horizontal="center"/>
    </xf>
    <xf numFmtId="0" fontId="31" fillId="0" borderId="43" applyAlignment="1" pivotButton="0" quotePrefix="0" xfId="0">
      <alignment horizontal="left" vertical="center"/>
    </xf>
    <xf numFmtId="0" fontId="31" fillId="0" borderId="44" applyAlignment="1" pivotButton="0" quotePrefix="0" xfId="0">
      <alignment horizontal="left" vertical="center"/>
    </xf>
    <xf numFmtId="168" fontId="31" fillId="0" borderId="9" applyAlignment="1" pivotButton="0" quotePrefix="0" xfId="0">
      <alignment vertical="center" wrapText="1"/>
    </xf>
    <xf numFmtId="0" fontId="41" fillId="0" borderId="45" applyAlignment="1" pivotButton="0" quotePrefix="0" xfId="0">
      <alignment horizontal="center" vertical="center" wrapText="1"/>
    </xf>
    <xf numFmtId="0" fontId="41" fillId="0" borderId="12" applyAlignment="1" pivotButton="0" quotePrefix="0" xfId="0">
      <alignment horizontal="center" vertical="center" wrapText="1"/>
    </xf>
    <xf numFmtId="167" fontId="41" fillId="0" borderId="13" applyAlignment="1" pivotButton="0" quotePrefix="0" xfId="0">
      <alignment horizontal="center" vertical="center" wrapText="1"/>
    </xf>
    <xf numFmtId="0" fontId="34" fillId="0" borderId="46" applyAlignment="1" pivotButton="0" quotePrefix="0" xfId="0">
      <alignment vertical="center"/>
    </xf>
    <xf numFmtId="0" fontId="34" fillId="0" borderId="16" applyAlignment="1" pivotButton="0" quotePrefix="0" xfId="0">
      <alignment vertical="center"/>
    </xf>
    <xf numFmtId="0" fontId="34" fillId="0" borderId="47" applyAlignment="1" pivotButton="0" quotePrefix="0" xfId="0">
      <alignment vertical="center"/>
    </xf>
    <xf numFmtId="0" fontId="42" fillId="0" borderId="15" pivotButton="0" quotePrefix="0" xfId="0"/>
    <xf numFmtId="169" fontId="38" fillId="0" borderId="16" pivotButton="0" quotePrefix="0" xfId="0"/>
    <xf numFmtId="0" fontId="34" fillId="0" borderId="7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4" fillId="0" borderId="48" applyAlignment="1" pivotButton="0" quotePrefix="0" xfId="0">
      <alignment vertical="center"/>
    </xf>
    <xf numFmtId="0" fontId="42" fillId="0" borderId="49" pivotButton="0" quotePrefix="0" xfId="0"/>
    <xf numFmtId="169" fontId="38" fillId="0" borderId="0" pivotButton="0" quotePrefix="0" xfId="0"/>
    <xf numFmtId="0" fontId="30" fillId="0" borderId="7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0" borderId="48" applyAlignment="1" pivotButton="0" quotePrefix="0" xfId="0">
      <alignment vertical="center"/>
    </xf>
    <xf numFmtId="0" fontId="44" fillId="0" borderId="49" pivotButton="0" quotePrefix="0" xfId="0"/>
    <xf numFmtId="0" fontId="43" fillId="0" borderId="0" applyAlignment="1" pivotButton="0" quotePrefix="0" xfId="0">
      <alignment horizontal="right"/>
    </xf>
    <xf numFmtId="0" fontId="43" fillId="0" borderId="7" applyAlignment="1" pivotButton="0" quotePrefix="0" xfId="0">
      <alignment vertical="center"/>
    </xf>
    <xf numFmtId="0" fontId="43" fillId="0" borderId="18" pivotButton="0" quotePrefix="0" xfId="0"/>
    <xf numFmtId="0" fontId="43" fillId="0" borderId="19" applyAlignment="1" pivotButton="0" quotePrefix="0" xfId="0">
      <alignment horizontal="right"/>
    </xf>
    <xf numFmtId="0" fontId="43" fillId="0" borderId="16" applyAlignment="1" pivotButton="0" quotePrefix="0" xfId="0">
      <alignment vertical="center"/>
    </xf>
    <xf numFmtId="0" fontId="43" fillId="0" borderId="47" applyAlignment="1" pivotButton="0" quotePrefix="0" xfId="0">
      <alignment vertical="center"/>
    </xf>
    <xf numFmtId="0" fontId="30" fillId="0" borderId="16" pivotButton="0" quotePrefix="0" xfId="0"/>
    <xf numFmtId="0" fontId="43" fillId="0" borderId="16" applyAlignment="1" pivotButton="0" quotePrefix="0" xfId="0">
      <alignment horizontal="right"/>
    </xf>
    <xf numFmtId="0" fontId="45" fillId="0" borderId="7" pivotButton="0" quotePrefix="0" xfId="0"/>
    <xf numFmtId="169" fontId="44" fillId="0" borderId="0" pivotButton="0" quotePrefix="0" xfId="0"/>
    <xf numFmtId="0" fontId="43" fillId="0" borderId="48" pivotButton="0" quotePrefix="0" xfId="0"/>
    <xf numFmtId="0" fontId="44" fillId="0" borderId="0" pivotButton="0" quotePrefix="0" xfId="0"/>
    <xf numFmtId="0" fontId="43" fillId="0" borderId="10" applyAlignment="1" pivotButton="0" quotePrefix="0" xfId="0">
      <alignment vertical="center"/>
    </xf>
    <xf numFmtId="169" fontId="44" fillId="0" borderId="11" pivotButton="0" quotePrefix="0" xfId="0"/>
    <xf numFmtId="0" fontId="43" fillId="0" borderId="50" pivotButton="0" quotePrefix="0" xfId="0"/>
    <xf numFmtId="0" fontId="29" fillId="0" borderId="7" pivotButton="0" quotePrefix="0" xfId="0"/>
    <xf numFmtId="0" fontId="47" fillId="3" borderId="0" pivotButton="0" quotePrefix="0" xfId="0"/>
    <xf numFmtId="0" fontId="47" fillId="3" borderId="48" pivotButton="0" quotePrefix="0" xfId="0"/>
    <xf numFmtId="0" fontId="47" fillId="3" borderId="49" pivotButton="0" quotePrefix="0" xfId="0"/>
    <xf numFmtId="0" fontId="48" fillId="3" borderId="7" pivotButton="0" quotePrefix="0" xfId="0"/>
    <xf numFmtId="0" fontId="48" fillId="3" borderId="0" pivotButton="0" quotePrefix="0" xfId="0"/>
    <xf numFmtId="0" fontId="47" fillId="3" borderId="7" pivotButton="0" quotePrefix="0" xfId="0"/>
    <xf numFmtId="0" fontId="47" fillId="3" borderId="27" pivotButton="0" quotePrefix="0" xfId="0"/>
    <xf numFmtId="0" fontId="47" fillId="3" borderId="19" pivotButton="0" quotePrefix="0" xfId="0"/>
    <xf numFmtId="0" fontId="47" fillId="3" borderId="53" pivotButton="0" quotePrefix="0" xfId="0"/>
    <xf numFmtId="0" fontId="47" fillId="3" borderId="18" pivotButton="0" quotePrefix="0" xfId="0"/>
    <xf numFmtId="0" fontId="47" fillId="3" borderId="10" pivotButton="0" quotePrefix="0" xfId="0"/>
    <xf numFmtId="0" fontId="47" fillId="3" borderId="11" pivotButton="0" quotePrefix="0" xfId="0"/>
    <xf numFmtId="0" fontId="47" fillId="3" borderId="50" pivotButton="0" quotePrefix="0" xfId="0"/>
    <xf numFmtId="0" fontId="37" fillId="0" borderId="57" pivotButton="0" quotePrefix="0" xfId="0"/>
    <xf numFmtId="0" fontId="37" fillId="0" borderId="58" pivotButton="0" quotePrefix="0" xfId="0"/>
    <xf numFmtId="0" fontId="35" fillId="0" borderId="28" pivotButton="0" quotePrefix="0" xfId="0"/>
    <xf numFmtId="173" fontId="35" fillId="0" borderId="25" applyAlignment="1" pivotButton="0" quotePrefix="0" xfId="2">
      <alignment horizontal="center"/>
    </xf>
    <xf numFmtId="0" fontId="48" fillId="3" borderId="1" pivotButton="0" quotePrefix="0" xfId="0"/>
    <xf numFmtId="0" fontId="47" fillId="3" borderId="2" pivotButton="0" quotePrefix="0" xfId="0"/>
    <xf numFmtId="0" fontId="47" fillId="3" borderId="60" pivotButton="0" quotePrefix="0" xfId="0"/>
    <xf numFmtId="0" fontId="48" fillId="3" borderId="2" pivotButton="0" quotePrefix="0" xfId="0"/>
    <xf numFmtId="174" fontId="36" fillId="0" borderId="0" applyAlignment="1" pivotButton="0" quotePrefix="0" xfId="0">
      <alignment horizontal="center"/>
    </xf>
    <xf numFmtId="175" fontId="36" fillId="0" borderId="0" applyAlignment="1" pivotButton="0" quotePrefix="0" xfId="2">
      <alignment horizontal="center"/>
    </xf>
    <xf numFmtId="175" fontId="3" fillId="0" borderId="0" applyAlignment="1" pivotButton="0" quotePrefix="0" xfId="0">
      <alignment horizontal="center"/>
    </xf>
    <xf numFmtId="175" fontId="3" fillId="0" borderId="0" applyAlignment="1" pivotButton="0" quotePrefix="0" xfId="2">
      <alignment horizontal="center"/>
    </xf>
    <xf numFmtId="176" fontId="3" fillId="0" borderId="0" applyAlignment="1" pivotButton="0" quotePrefix="0" xfId="0">
      <alignment horizontal="center"/>
    </xf>
    <xf numFmtId="176" fontId="3" fillId="0" borderId="0" applyAlignment="1" pivotButton="0" quotePrefix="0" xfId="2">
      <alignment horizontal="center"/>
    </xf>
    <xf numFmtId="176" fontId="3" fillId="0" borderId="0" applyAlignment="1" pivotButton="0" quotePrefix="0" xfId="2">
      <alignment horizontal="center"/>
    </xf>
    <xf numFmtId="176" fontId="36" fillId="0" borderId="0" applyAlignment="1" pivotButton="0" quotePrefix="0" xfId="2">
      <alignment horizontal="center"/>
    </xf>
    <xf numFmtId="176" fontId="36" fillId="0" borderId="0" applyAlignment="1" pivotButton="0" quotePrefix="0" xfId="2">
      <alignment horizontal="center"/>
    </xf>
    <xf numFmtId="175" fontId="3" fillId="0" borderId="0" applyAlignment="1" pivotButton="0" quotePrefix="0" xfId="2">
      <alignment horizontal="center"/>
    </xf>
    <xf numFmtId="4" fontId="0" fillId="0" borderId="0" pivotButton="0" quotePrefix="0" xfId="0"/>
    <xf numFmtId="4" fontId="49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7" fillId="0" borderId="24" applyAlignment="1" pivotButton="0" quotePrefix="0" xfId="0">
      <alignment horizontal="center"/>
    </xf>
    <xf numFmtId="0" fontId="18" fillId="0" borderId="51" applyAlignment="1" pivotButton="0" quotePrefix="0" xfId="0">
      <alignment horizontal="left"/>
    </xf>
    <xf numFmtId="0" fontId="18" fillId="0" borderId="11" applyAlignment="1" pivotButton="0" quotePrefix="0" xfId="0">
      <alignment horizontal="left"/>
    </xf>
    <xf numFmtId="0" fontId="23" fillId="3" borderId="43" applyAlignment="1" pivotButton="0" quotePrefix="0" xfId="0">
      <alignment horizontal="center"/>
    </xf>
    <xf numFmtId="0" fontId="23" fillId="3" borderId="54" applyAlignment="1" pivotButton="0" quotePrefix="0" xfId="0">
      <alignment horizontal="center"/>
    </xf>
    <xf numFmtId="0" fontId="23" fillId="3" borderId="44" applyAlignment="1" pivotButton="0" quotePrefix="0" xfId="0">
      <alignment horizontal="center"/>
    </xf>
    <xf numFmtId="0" fontId="32" fillId="0" borderId="15" applyAlignment="1" pivotButton="0" quotePrefix="0" xfId="0">
      <alignment horizontal="center" vertical="center"/>
    </xf>
    <xf numFmtId="0" fontId="32" fillId="0" borderId="1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0" fillId="0" borderId="48" pivotButton="0" quotePrefix="0" xfId="0"/>
    <xf numFmtId="0" fontId="30" fillId="0" borderId="6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30" fillId="0" borderId="8" applyAlignment="1" pivotButton="0" quotePrefix="1" xfId="0">
      <alignment horizontal="center" vertical="center"/>
    </xf>
    <xf numFmtId="0" fontId="3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left" vertical="center"/>
    </xf>
    <xf numFmtId="165" fontId="30" fillId="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/>
    </xf>
    <xf numFmtId="0" fontId="30" fillId="0" borderId="20" applyAlignment="1" pivotButton="0" quotePrefix="0" xfId="0">
      <alignment horizontal="left" vertical="center" wrapText="1"/>
    </xf>
    <xf numFmtId="167" fontId="37" fillId="0" borderId="32" applyAlignment="1" pivotButton="0" quotePrefix="0" xfId="1">
      <alignment vertical="center"/>
    </xf>
    <xf numFmtId="167" fontId="37" fillId="0" borderId="35" applyAlignment="1" pivotButton="0" quotePrefix="0" xfId="1">
      <alignment vertical="center"/>
    </xf>
    <xf numFmtId="167" fontId="37" fillId="0" borderId="40" applyAlignment="1" pivotButton="0" quotePrefix="0" xfId="1">
      <alignment vertical="center"/>
    </xf>
    <xf numFmtId="167" fontId="37" fillId="0" borderId="42" applyAlignment="1" pivotButton="0" quotePrefix="0" xfId="1">
      <alignment vertical="center"/>
    </xf>
    <xf numFmtId="166" fontId="38" fillId="0" borderId="17" applyAlignment="1" pivotButton="0" quotePrefix="0" xfId="0">
      <alignment vertical="center"/>
    </xf>
    <xf numFmtId="166" fontId="38" fillId="0" borderId="8" applyAlignment="1" pivotButton="0" quotePrefix="0" xfId="0">
      <alignment vertical="center"/>
    </xf>
    <xf numFmtId="166" fontId="44" fillId="0" borderId="8" applyAlignment="1" pivotButton="0" quotePrefix="0" xfId="0">
      <alignment vertical="center"/>
    </xf>
    <xf numFmtId="166" fontId="44" fillId="0" borderId="20" applyAlignment="1" pivotButton="0" quotePrefix="0" xfId="0">
      <alignment vertical="center"/>
    </xf>
    <xf numFmtId="166" fontId="44" fillId="0" borderId="17" applyAlignment="1" pivotButton="0" quotePrefix="0" xfId="0">
      <alignment vertical="center"/>
    </xf>
    <xf numFmtId="166" fontId="43" fillId="0" borderId="8" applyAlignment="1" pivotButton="0" quotePrefix="0" xfId="0">
      <alignment vertical="center"/>
    </xf>
    <xf numFmtId="166" fontId="43" fillId="0" borderId="9" applyAlignment="1" pivotButton="0" quotePrefix="0" xfId="0">
      <alignment vertical="center"/>
    </xf>
    <xf numFmtId="0" fontId="47" fillId="3" borderId="3" applyAlignment="1" pivotButton="0" quotePrefix="0" xfId="0">
      <alignment vertical="center"/>
    </xf>
    <xf numFmtId="0" fontId="47" fillId="3" borderId="8" applyAlignment="1" pivotButton="0" quotePrefix="0" xfId="0">
      <alignment vertical="center"/>
    </xf>
    <xf numFmtId="0" fontId="47" fillId="3" borderId="9" applyAlignment="1" pivotButton="0" quotePrefix="0" xfId="0">
      <alignment vertical="center"/>
    </xf>
    <xf numFmtId="0" fontId="47" fillId="3" borderId="0" applyAlignment="1" pivotButton="0" quotePrefix="0" xfId="0">
      <alignment vertical="center"/>
    </xf>
    <xf numFmtId="167" fontId="37" fillId="0" borderId="59" applyAlignment="1" pivotButton="0" quotePrefix="0" xfId="1">
      <alignment vertical="center"/>
    </xf>
    <xf numFmtId="0" fontId="47" fillId="3" borderId="20" applyAlignment="1" pivotButton="0" quotePrefix="0" xfId="0">
      <alignment vertical="center"/>
    </xf>
    <xf numFmtId="0" fontId="30" fillId="2" borderId="8" applyAlignment="1" pivotButton="0" quotePrefix="0" xfId="0">
      <alignment horizontal="left" vertical="center"/>
    </xf>
    <xf numFmtId="3" fontId="6" fillId="0" borderId="8" applyAlignment="1" pivotButton="0" quotePrefix="1" xfId="0">
      <alignment horizontal="center"/>
    </xf>
    <xf numFmtId="3" fontId="9" fillId="0" borderId="34" pivotButton="0" quotePrefix="0" xfId="0"/>
    <xf numFmtId="0" fontId="7" fillId="0" borderId="0" pivotButton="0" quotePrefix="0" xfId="0"/>
    <xf numFmtId="0" fontId="11" fillId="0" borderId="2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0" fillId="0" borderId="19" pivotButton="0" quotePrefix="0" xfId="0"/>
    <xf numFmtId="49" fontId="6" fillId="0" borderId="8" applyAlignment="1" pivotButton="0" quotePrefix="1" xfId="0">
      <alignment horizontal="center"/>
    </xf>
    <xf numFmtId="16" fontId="0" fillId="3" borderId="52" pivotButton="0" quotePrefix="0" xfId="0"/>
    <xf numFmtId="0" fontId="0" fillId="0" borderId="7" pivotButton="0" quotePrefix="0" xfId="0"/>
    <xf numFmtId="0" fontId="50" fillId="0" borderId="7" pivotButton="0" quotePrefix="0" xfId="0"/>
    <xf numFmtId="0" fontId="23" fillId="3" borderId="12" applyAlignment="1" pivotButton="0" quotePrefix="0" xfId="0">
      <alignment horizontal="center"/>
    </xf>
    <xf numFmtId="0" fontId="0" fillId="0" borderId="1" pivotButton="0" quotePrefix="0" xfId="0"/>
    <xf numFmtId="0" fontId="0" fillId="0" borderId="8" pivotButton="0" quotePrefix="0" xfId="0"/>
    <xf numFmtId="0" fontId="14" fillId="4" borderId="7" applyAlignment="1" pivotButton="0" quotePrefix="0" xfId="0">
      <alignment horizontal="left"/>
    </xf>
    <xf numFmtId="0" fontId="51" fillId="0" borderId="7" pivotButton="0" quotePrefix="0" xfId="0"/>
    <xf numFmtId="173" fontId="52" fillId="0" borderId="23" applyAlignment="1" pivotButton="0" quotePrefix="0" xfId="2">
      <alignment horizontal="center"/>
    </xf>
    <xf numFmtId="0" fontId="6" fillId="3" borderId="8" applyAlignment="1" pivotButton="0" quotePrefix="1" xfId="0">
      <alignment horizontal="center"/>
    </xf>
    <xf numFmtId="164" fontId="6" fillId="3" borderId="8" applyAlignment="1" pivotButton="0" quotePrefix="0" xfId="1">
      <alignment horizontal="center" vertical="center"/>
    </xf>
    <xf numFmtId="165" fontId="6" fillId="3" borderId="8" applyAlignment="1" pivotButton="0" quotePrefix="0" xfId="0">
      <alignment horizontal="center"/>
    </xf>
    <xf numFmtId="0" fontId="7" fillId="3" borderId="0" applyAlignment="1" pivotButton="0" quotePrefix="0" xfId="0">
      <alignment horizontal="left"/>
    </xf>
    <xf numFmtId="4" fontId="49" fillId="3" borderId="0" applyAlignment="1" pivotButton="0" quotePrefix="0" xfId="0">
      <alignment horizontal="center"/>
    </xf>
    <xf numFmtId="2" fontId="3" fillId="3" borderId="0" applyAlignment="1" pivotButton="0" quotePrefix="0" xfId="1">
      <alignment horizontal="center"/>
    </xf>
    <xf numFmtId="176" fontId="3" fillId="3" borderId="0" applyAlignment="1" pivotButton="0" quotePrefix="0" xfId="2">
      <alignment horizontal="center"/>
    </xf>
    <xf numFmtId="10" fontId="3" fillId="3" borderId="0" applyAlignment="1" pivotButton="0" quotePrefix="0" xfId="3">
      <alignment horizontal="center"/>
    </xf>
    <xf numFmtId="167" fontId="9" fillId="3" borderId="32" pivotButton="0" quotePrefix="0" xfId="1"/>
    <xf numFmtId="167" fontId="9" fillId="3" borderId="35" pivotButton="0" quotePrefix="0" xfId="1"/>
    <xf numFmtId="168" fontId="7" fillId="3" borderId="9" applyAlignment="1" pivotButton="0" quotePrefix="0" xfId="0">
      <alignment vertical="center" wrapText="1"/>
    </xf>
    <xf numFmtId="0" fontId="18" fillId="3" borderId="7" applyAlignment="1" pivotButton="0" quotePrefix="0" xfId="0">
      <alignment vertical="center"/>
    </xf>
    <xf numFmtId="0" fontId="50" fillId="3" borderId="7" pivotButton="0" quotePrefix="0" xfId="0"/>
    <xf numFmtId="0" fontId="0" fillId="3" borderId="7" pivotButton="0" quotePrefix="0" xfId="0"/>
    <xf numFmtId="0" fontId="18" fillId="3" borderId="0" applyAlignment="1" pivotButton="0" quotePrefix="0" xfId="0">
      <alignment horizontal="right"/>
    </xf>
    <xf numFmtId="0" fontId="19" fillId="3" borderId="0" pivotButton="0" quotePrefix="0" xfId="0"/>
    <xf numFmtId="175" fontId="36" fillId="0" borderId="0" applyAlignment="1" pivotButton="0" quotePrefix="0" xfId="2">
      <alignment horizontal="center"/>
    </xf>
    <xf numFmtId="0" fontId="53" fillId="2" borderId="20" pivotButton="0" quotePrefix="0" xfId="0"/>
    <xf numFmtId="0" fontId="0" fillId="0" borderId="43" pivotButton="0" quotePrefix="0" xfId="0"/>
    <xf numFmtId="0" fontId="4" fillId="0" borderId="7" pivotButton="0" quotePrefix="0" xfId="0"/>
    <xf numFmtId="4" fontId="49" fillId="0" borderId="0" applyAlignment="1" pivotButton="0" quotePrefix="0" xfId="0">
      <alignment horizontal="center" wrapText="1"/>
    </xf>
    <xf numFmtId="0" fontId="21" fillId="3" borderId="61" pivotButton="0" quotePrefix="0" xfId="0"/>
    <xf numFmtId="0" fontId="21" fillId="3" borderId="62" pivotButton="0" quotePrefix="0" xfId="0"/>
    <xf numFmtId="0" fontId="0" fillId="0" borderId="63" pivotButton="0" quotePrefix="0" xfId="0"/>
    <xf numFmtId="0" fontId="21" fillId="3" borderId="64" pivotButton="0" quotePrefix="0" xfId="0"/>
    <xf numFmtId="177" fontId="49" fillId="0" borderId="0" applyAlignment="1" pivotButton="0" quotePrefix="0" xfId="0">
      <alignment horizontal="center" wrapText="1"/>
    </xf>
    <xf numFmtId="177" fontId="3" fillId="0" borderId="0" applyAlignment="1" pivotButton="0" quotePrefix="0" xfId="2">
      <alignment horizontal="center"/>
    </xf>
    <xf numFmtId="178" fontId="49" fillId="0" borderId="0" applyAlignment="1" pivotButton="0" quotePrefix="0" xfId="0">
      <alignment horizontal="center" vertical="center" wrapText="1"/>
    </xf>
    <xf numFmtId="178" fontId="3" fillId="0" borderId="0" applyAlignment="1" pivotButton="0" quotePrefix="0" xfId="2">
      <alignment horizontal="center" vertical="center"/>
    </xf>
    <xf numFmtId="175" fontId="0" fillId="0" borderId="0" applyAlignment="1" pivotButton="0" quotePrefix="0" xfId="0">
      <alignment horizontal="center" wrapText="1"/>
    </xf>
    <xf numFmtId="1" fontId="6" fillId="0" borderId="8" applyAlignment="1" pivotButton="0" quotePrefix="1" xfId="0">
      <alignment horizontal="center"/>
    </xf>
    <xf numFmtId="0" fontId="7" fillId="0" borderId="27" applyAlignment="1" pivotButton="0" quotePrefix="0" xfId="0">
      <alignment horizontal="right" vertical="center"/>
    </xf>
    <xf numFmtId="0" fontId="6" fillId="0" borderId="6" applyAlignment="1" pivotButton="0" quotePrefix="0" xfId="0">
      <alignment horizontal="center"/>
    </xf>
    <xf numFmtId="1" fontId="6" fillId="0" borderId="6" applyAlignment="1" pivotButton="0" quotePrefix="0" xfId="0">
      <alignment horizontal="center"/>
    </xf>
    <xf numFmtId="0" fontId="37" fillId="0" borderId="65" pivotButton="0" quotePrefix="0" xfId="0"/>
    <xf numFmtId="0" fontId="0" fillId="0" borderId="10" pivotButton="0" quotePrefix="0" xfId="0"/>
    <xf numFmtId="0" fontId="0" fillId="0" borderId="66" pivotButton="0" quotePrefix="0" xfId="0"/>
    <xf numFmtId="0" fontId="0" fillId="0" borderId="67" pivotButton="0" quotePrefix="0" xfId="0"/>
    <xf numFmtId="175" fontId="49" fillId="0" borderId="0" applyAlignment="1" pivotButton="0" quotePrefix="0" xfId="0">
      <alignment horizontal="center"/>
    </xf>
    <xf numFmtId="169" fontId="49" fillId="0" borderId="0" applyAlignment="1" pivotButton="0" quotePrefix="0" xfId="0">
      <alignment horizontal="center" wrapText="1"/>
    </xf>
    <xf numFmtId="179" fontId="49" fillId="0" borderId="0" applyAlignment="1" pivotButton="0" quotePrefix="0" xfId="0">
      <alignment horizontal="center" wrapText="1"/>
    </xf>
    <xf numFmtId="179" fontId="3" fillId="0" borderId="0" applyAlignment="1" pivotButton="0" quotePrefix="0" xfId="2">
      <alignment horizontal="center"/>
    </xf>
    <xf numFmtId="0" fontId="6" fillId="0" borderId="8" pivotButton="0" quotePrefix="0" xfId="0"/>
    <xf numFmtId="180" fontId="49" fillId="0" borderId="0" applyAlignment="1" pivotButton="0" quotePrefix="0" xfId="0">
      <alignment horizontal="center" wrapText="1"/>
    </xf>
    <xf numFmtId="181" fontId="3" fillId="0" borderId="0" applyAlignment="1" pivotButton="0" quotePrefix="0" xfId="2">
      <alignment horizontal="center"/>
    </xf>
    <xf numFmtId="173" fontId="49" fillId="0" borderId="0" applyAlignment="1" pivotButton="0" quotePrefix="0" xfId="0">
      <alignment horizontal="center" wrapText="1"/>
    </xf>
    <xf numFmtId="177" fontId="49" fillId="0" borderId="0" applyAlignment="1" pivotButton="0" quotePrefix="0" xfId="0">
      <alignment vertical="top" wrapText="1"/>
    </xf>
    <xf numFmtId="182" fontId="49" fillId="0" borderId="0" applyAlignment="1" pivotButton="0" quotePrefix="0" xfId="0">
      <alignment vertical="top" wrapText="1"/>
    </xf>
    <xf numFmtId="0" fontId="55" fillId="2" borderId="52" pivotButton="0" quotePrefix="0" xfId="0"/>
    <xf numFmtId="173" fontId="49" fillId="0" borderId="0" applyAlignment="1" pivotButton="0" quotePrefix="0" xfId="0">
      <alignment vertical="top" wrapText="1"/>
    </xf>
    <xf numFmtId="0" fontId="30" fillId="0" borderId="2" applyAlignment="1" pivotButton="0" quotePrefix="0" xfId="0">
      <alignment horizontal="right"/>
    </xf>
    <xf numFmtId="14" fontId="30" fillId="0" borderId="2" applyAlignment="1" pivotButton="0" quotePrefix="0" xfId="0">
      <alignment horizontal="left"/>
    </xf>
    <xf numFmtId="0" fontId="34" fillId="0" borderId="2" applyAlignment="1" pivotButton="0" quotePrefix="0" xfId="0">
      <alignment horizontal="right"/>
    </xf>
    <xf numFmtId="0" fontId="56" fillId="0" borderId="2" applyAlignment="1" pivotButton="0" quotePrefix="0" xfId="0">
      <alignment horizontal="right"/>
    </xf>
    <xf numFmtId="179" fontId="36" fillId="0" borderId="0" applyAlignment="1" pivotButton="0" quotePrefix="0" xfId="2">
      <alignment horizontal="center"/>
    </xf>
    <xf numFmtId="179" fontId="36" fillId="0" borderId="0" applyAlignment="1" pivotButton="0" quotePrefix="0" xfId="2">
      <alignment horizontal="center"/>
    </xf>
    <xf numFmtId="177" fontId="36" fillId="0" borderId="0" applyAlignment="1" pivotButton="0" quotePrefix="0" xfId="2">
      <alignment horizontal="center"/>
    </xf>
    <xf numFmtId="177" fontId="36" fillId="0" borderId="0" applyAlignment="1" pivotButton="0" quotePrefix="0" xfId="0">
      <alignment horizontal="center"/>
    </xf>
    <xf numFmtId="1" fontId="30" fillId="0" borderId="8" applyAlignment="1" pivotButton="0" quotePrefix="1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68" pivotButton="0" quotePrefix="0" xfId="0"/>
    <xf numFmtId="16" fontId="0" fillId="0" borderId="68" applyAlignment="1" pivotButton="0" quotePrefix="0" xfId="0">
      <alignment vertical="top"/>
    </xf>
    <xf numFmtId="16" fontId="0" fillId="0" borderId="68" pivotButton="0" quotePrefix="0" xfId="0"/>
    <xf numFmtId="20" fontId="0" fillId="0" borderId="68" pivotButton="0" quotePrefix="0" xfId="0"/>
    <xf numFmtId="0" fontId="0" fillId="0" borderId="69" pivotButton="0" quotePrefix="0" xfId="0"/>
    <xf numFmtId="16" fontId="0" fillId="0" borderId="69" applyAlignment="1" pivotButton="0" quotePrefix="0" xfId="0">
      <alignment vertical="top"/>
    </xf>
    <xf numFmtId="16" fontId="0" fillId="0" borderId="69" pivotButton="0" quotePrefix="0" xfId="0"/>
    <xf numFmtId="0" fontId="49" fillId="0" borderId="71" applyAlignment="1" pivotButton="0" quotePrefix="0" xfId="0">
      <alignment vertical="top"/>
    </xf>
    <xf numFmtId="0" fontId="49" fillId="0" borderId="71" pivotButton="0" quotePrefix="0" xfId="0"/>
    <xf numFmtId="0" fontId="49" fillId="0" borderId="72" pivotButton="0" quotePrefix="0" xfId="0"/>
    <xf numFmtId="43" fontId="0" fillId="0" borderId="52" applyAlignment="1" pivotButton="0" quotePrefix="0" xfId="1">
      <alignment vertical="top"/>
    </xf>
    <xf numFmtId="183" fontId="0" fillId="0" borderId="52" pivotButton="0" quotePrefix="0" xfId="0"/>
    <xf numFmtId="0" fontId="0" fillId="0" borderId="52" pivotButton="0" quotePrefix="0" xfId="0"/>
    <xf numFmtId="16" fontId="0" fillId="0" borderId="52" pivotButton="0" quotePrefix="0" xfId="0"/>
    <xf numFmtId="0" fontId="0" fillId="2" borderId="52" pivotButton="0" quotePrefix="0" xfId="0"/>
    <xf numFmtId="0" fontId="0" fillId="2" borderId="52" applyAlignment="1" pivotButton="0" quotePrefix="0" xfId="0">
      <alignment vertical="top"/>
    </xf>
    <xf numFmtId="0" fontId="0" fillId="2" borderId="68" pivotButton="0" quotePrefix="0" xfId="0"/>
    <xf numFmtId="0" fontId="0" fillId="0" borderId="73" pivotButton="0" quotePrefix="0" xfId="0"/>
    <xf numFmtId="43" fontId="0" fillId="0" borderId="73" applyAlignment="1" pivotButton="0" quotePrefix="0" xfId="1">
      <alignment vertical="top"/>
    </xf>
    <xf numFmtId="183" fontId="0" fillId="0" borderId="73" pivotButton="0" quotePrefix="0" xfId="0"/>
    <xf numFmtId="16" fontId="0" fillId="0" borderId="73" pivotButton="0" quotePrefix="0" xfId="0"/>
    <xf numFmtId="0" fontId="0" fillId="0" borderId="74" applyAlignment="1" pivotButton="0" quotePrefix="0" xfId="0">
      <alignment vertical="top"/>
    </xf>
    <xf numFmtId="16" fontId="0" fillId="0" borderId="74" pivotButton="0" quotePrefix="0" xfId="0"/>
    <xf numFmtId="0" fontId="0" fillId="0" borderId="75" pivotButton="0" quotePrefix="0" xfId="0"/>
    <xf numFmtId="184" fontId="36" fillId="0" borderId="0" applyAlignment="1" pivotButton="0" quotePrefix="0" xfId="2">
      <alignment horizontal="center"/>
    </xf>
    <xf numFmtId="0" fontId="34" fillId="0" borderId="2" pivotButton="0" quotePrefix="0" xfId="0"/>
    <xf numFmtId="182" fontId="36" fillId="0" borderId="0" applyAlignment="1" pivotButton="0" quotePrefix="0" xfId="2">
      <alignment horizontal="center"/>
    </xf>
    <xf numFmtId="182" fontId="36" fillId="0" borderId="0" applyAlignment="1" pivotButton="0" quotePrefix="0" xfId="2">
      <alignment horizontal="right" vertical="center"/>
    </xf>
    <xf numFmtId="177" fontId="36" fillId="0" borderId="0" applyAlignment="1" pivotButton="0" quotePrefix="0" xfId="2">
      <alignment horizontal="center"/>
    </xf>
    <xf numFmtId="177" fontId="36" fillId="0" borderId="0" applyAlignment="1" pivotButton="0" quotePrefix="0" xfId="2">
      <alignment horizontal="right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3" fillId="0" borderId="24" applyAlignment="1" pivotButton="0" quotePrefix="0" xfId="0">
      <alignment horizontal="center" vertical="center" wrapText="1"/>
    </xf>
    <xf numFmtId="0" fontId="46" fillId="3" borderId="43" applyAlignment="1" pivotButton="0" quotePrefix="0" xfId="0">
      <alignment horizontal="center"/>
    </xf>
    <xf numFmtId="0" fontId="46" fillId="3" borderId="54" applyAlignment="1" pivotButton="0" quotePrefix="0" xfId="0">
      <alignment horizontal="center"/>
    </xf>
    <xf numFmtId="0" fontId="46" fillId="3" borderId="44" applyAlignment="1" pivotButton="0" quotePrefix="0" xfId="0">
      <alignment horizontal="center"/>
    </xf>
    <xf numFmtId="173" fontId="36" fillId="0" borderId="0" applyAlignment="1" pivotButton="0" quotePrefix="0" xfId="2">
      <alignment horizontal="left"/>
    </xf>
    <xf numFmtId="185" fontId="36" fillId="0" borderId="0" applyAlignment="1" pivotButton="0" quotePrefix="0" xfId="2">
      <alignment horizontal="center"/>
    </xf>
    <xf numFmtId="185" fontId="36" fillId="0" borderId="0" applyAlignment="1" pivotButton="0" quotePrefix="0" xfId="2">
      <alignment horizontal="center" vertical="center"/>
    </xf>
    <xf numFmtId="185" fontId="36" fillId="0" borderId="0" applyAlignment="1" pivotButton="0" quotePrefix="0" xfId="2">
      <alignment horizontal="center"/>
    </xf>
    <xf numFmtId="186" fontId="36" fillId="0" borderId="0" applyAlignment="1" pivotButton="0" quotePrefix="0" xfId="2">
      <alignment horizontal="center"/>
    </xf>
    <xf numFmtId="187" fontId="36" fillId="0" borderId="0" applyAlignment="1" pivotButton="0" quotePrefix="0" xfId="2">
      <alignment horizontal="center"/>
    </xf>
    <xf numFmtId="174" fontId="36" fillId="0" borderId="0" applyAlignment="1" pivotButton="0" quotePrefix="0" xfId="2">
      <alignment horizontal="center"/>
    </xf>
    <xf numFmtId="188" fontId="30" fillId="0" borderId="8" applyAlignment="1" pivotButton="0" quotePrefix="0" xfId="1">
      <alignment horizontal="center" vertical="center"/>
    </xf>
    <xf numFmtId="4" fontId="31" fillId="0" borderId="0" applyAlignment="1" pivotButton="0" quotePrefix="0" xfId="0">
      <alignment horizontal="left"/>
    </xf>
    <xf numFmtId="1" fontId="31" fillId="0" borderId="0" applyAlignment="1" pivotButton="0" quotePrefix="0" xfId="0">
      <alignment horizontal="left"/>
    </xf>
    <xf numFmtId="0" fontId="30" fillId="2" borderId="8" applyAlignment="1" pivotButton="0" quotePrefix="0" xfId="0">
      <alignment horizontal="center" vertical="center" wrapText="1"/>
    </xf>
    <xf numFmtId="188" fontId="0" fillId="3" borderId="1" pivotButton="0" quotePrefix="0" xfId="0"/>
    <xf numFmtId="180" fontId="36" fillId="0" borderId="0" applyAlignment="1" pivotButton="0" quotePrefix="0" xfId="2">
      <alignment horizontal="center"/>
    </xf>
    <xf numFmtId="173" fontId="36" fillId="0" borderId="0" applyAlignment="1" pivotButton="0" quotePrefix="0" xfId="2">
      <alignment horizontal="center"/>
    </xf>
    <xf numFmtId="189" fontId="36" fillId="0" borderId="0" applyAlignment="1" pivotButton="0" quotePrefix="0" xfId="2">
      <alignment horizontal="center"/>
    </xf>
    <xf numFmtId="1" fontId="30" fillId="0" borderId="8" applyAlignment="1" pivotButton="0" quotePrefix="1" xfId="0">
      <alignment horizontal="center"/>
    </xf>
    <xf numFmtId="165" fontId="30" fillId="2" borderId="8" applyAlignment="1" pivotButton="0" quotePrefix="0" xfId="0">
      <alignment horizontal="center" vertical="center"/>
    </xf>
    <xf numFmtId="1" fontId="30" fillId="2" borderId="8" applyAlignment="1" pivotButton="0" quotePrefix="1" xfId="0">
      <alignment horizontal="center" vertical="center"/>
    </xf>
    <xf numFmtId="0" fontId="0" fillId="2" borderId="0" pivotButton="0" quotePrefix="0" xfId="0"/>
    <xf numFmtId="0" fontId="49" fillId="0" borderId="0" pivotButton="0" quotePrefix="0" xfId="0"/>
    <xf numFmtId="0" fontId="0" fillId="6" borderId="0" pivotButton="0" quotePrefix="0" xfId="0"/>
    <xf numFmtId="0" fontId="7" fillId="0" borderId="22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7" fillId="0" borderId="24" applyAlignment="1" pivotButton="0" quotePrefix="0" xfId="0">
      <alignment horizontal="center"/>
    </xf>
    <xf numFmtId="0" fontId="11" fillId="0" borderId="2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left"/>
    </xf>
    <xf numFmtId="0" fontId="18" fillId="0" borderId="11" applyAlignment="1" pivotButton="0" quotePrefix="0" xfId="0">
      <alignment horizontal="left"/>
    </xf>
    <xf numFmtId="0" fontId="23" fillId="3" borderId="43" applyAlignment="1" pivotButton="0" quotePrefix="0" xfId="0">
      <alignment horizontal="center"/>
    </xf>
    <xf numFmtId="0" fontId="23" fillId="3" borderId="54" applyAlignment="1" pivotButton="0" quotePrefix="0" xfId="0">
      <alignment horizontal="center"/>
    </xf>
    <xf numFmtId="0" fontId="23" fillId="3" borderId="44" applyAlignment="1" pivotButton="0" quotePrefix="0" xfId="0">
      <alignment horizontal="center"/>
    </xf>
    <xf numFmtId="0" fontId="30" fillId="5" borderId="0" pivotButton="0" quotePrefix="0" xfId="0"/>
    <xf numFmtId="0" fontId="31" fillId="0" borderId="22" applyAlignment="1" pivotButton="0" quotePrefix="0" xfId="0">
      <alignment horizontal="center"/>
    </xf>
    <xf numFmtId="0" fontId="31" fillId="0" borderId="23" applyAlignment="1" pivotButton="0" quotePrefix="0" xfId="0">
      <alignment horizontal="center"/>
    </xf>
    <xf numFmtId="0" fontId="31" fillId="0" borderId="24" applyAlignment="1" pivotButton="0" quotePrefix="0" xfId="0">
      <alignment horizontal="center"/>
    </xf>
    <xf numFmtId="0" fontId="32" fillId="0" borderId="15" applyAlignment="1" pivotButton="0" quotePrefix="0" xfId="0">
      <alignment horizontal="center" vertical="center"/>
    </xf>
    <xf numFmtId="0" fontId="32" fillId="0" borderId="16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3" fillId="0" borderId="24" applyAlignment="1" pivotButton="0" quotePrefix="0" xfId="0">
      <alignment horizontal="center" vertical="center" wrapText="1"/>
    </xf>
    <xf numFmtId="0" fontId="43" fillId="0" borderId="51" applyAlignment="1" pivotButton="0" quotePrefix="0" xfId="0">
      <alignment horizontal="left"/>
    </xf>
    <xf numFmtId="0" fontId="43" fillId="0" borderId="11" applyAlignment="1" pivotButton="0" quotePrefix="0" xfId="0">
      <alignment horizontal="left"/>
    </xf>
    <xf numFmtId="0" fontId="46" fillId="3" borderId="43" applyAlignment="1" pivotButton="0" quotePrefix="0" xfId="0">
      <alignment horizontal="center"/>
    </xf>
    <xf numFmtId="0" fontId="46" fillId="3" borderId="54" applyAlignment="1" pivotButton="0" quotePrefix="0" xfId="0">
      <alignment horizontal="center"/>
    </xf>
    <xf numFmtId="0" fontId="46" fillId="3" borderId="44" applyAlignment="1" pivotButton="0" quotePrefix="0" xfId="0">
      <alignment horizontal="center"/>
    </xf>
    <xf numFmtId="0" fontId="31" fillId="0" borderId="22" applyAlignment="1" pivotButton="0" quotePrefix="0" xfId="0">
      <alignment horizontal="center" vertical="center"/>
    </xf>
    <xf numFmtId="0" fontId="31" fillId="0" borderId="23" applyAlignment="1" pivotButton="0" quotePrefix="0" xfId="0">
      <alignment horizontal="center" vertical="center"/>
    </xf>
    <xf numFmtId="0" fontId="31" fillId="0" borderId="24" applyAlignment="1" pivotButton="0" quotePrefix="0" xfId="0">
      <alignment horizontal="center" vertical="center"/>
    </xf>
    <xf numFmtId="0" fontId="54" fillId="0" borderId="22" applyAlignment="1" pivotButton="0" quotePrefix="0" xfId="0">
      <alignment horizontal="center" wrapText="1"/>
    </xf>
    <xf numFmtId="0" fontId="54" fillId="0" borderId="23" applyAlignment="1" pivotButton="0" quotePrefix="0" xfId="0">
      <alignment horizontal="center" wrapText="1"/>
    </xf>
    <xf numFmtId="0" fontId="31" fillId="0" borderId="15" applyAlignment="1" pivotButton="0" quotePrefix="0" xfId="0">
      <alignment horizontal="center" vertical="center"/>
    </xf>
    <xf numFmtId="0" fontId="18" fillId="3" borderId="51" applyAlignment="1" pivotButton="0" quotePrefix="0" xfId="0">
      <alignment horizontal="left"/>
    </xf>
    <xf numFmtId="0" fontId="18" fillId="3" borderId="11" applyAlignment="1" pivotButton="0" quotePrefix="0" xfId="0">
      <alignment horizontal="left"/>
    </xf>
    <xf numFmtId="0" fontId="10" fillId="0" borderId="22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32" fillId="0" borderId="76" applyAlignment="1" pivotButton="0" quotePrefix="0" xfId="0">
      <alignment horizontal="center" vertical="center"/>
    </xf>
    <xf numFmtId="0" fontId="32" fillId="0" borderId="77" applyAlignment="1" pivotButton="0" quotePrefix="0" xfId="0">
      <alignment horizontal="center" vertical="center"/>
    </xf>
    <xf numFmtId="0" fontId="49" fillId="0" borderId="70" applyAlignment="1" pivotButton="0" quotePrefix="0" xfId="0">
      <alignment horizontal="center"/>
    </xf>
    <xf numFmtId="0" fontId="49" fillId="0" borderId="71" applyAlignment="1" pivotButton="0" quotePrefix="0" xfId="0">
      <alignment horizontal="center"/>
    </xf>
    <xf numFmtId="0" fontId="33" fillId="0" borderId="21" applyAlignment="1" pivotButton="0" quotePrefix="0" xfId="0">
      <alignment horizontal="center" vertical="center" wrapText="1"/>
    </xf>
    <xf numFmtId="0" fontId="33" fillId="0" borderId="52" applyAlignment="1" pivotButton="0" quotePrefix="0" xfId="0">
      <alignment horizontal="center" vertical="center" wrapText="1"/>
    </xf>
    <xf numFmtId="0" fontId="33" fillId="0" borderId="22" applyAlignment="1" pivotButton="0" quotePrefix="0" xfId="0">
      <alignment horizontal="center" vertical="center" wrapText="1"/>
    </xf>
    <xf numFmtId="164" fontId="30" fillId="0" borderId="8" applyAlignment="1" pivotButton="0" quotePrefix="0" xfId="1">
      <alignment horizontal="center" vertical="center"/>
    </xf>
    <xf numFmtId="165" fontId="30" fillId="2" borderId="8" applyAlignment="1" pivotButton="0" quotePrefix="0" xfId="0">
      <alignment horizontal="center" vertical="center"/>
    </xf>
    <xf numFmtId="165" fontId="30" fillId="0" borderId="8" applyAlignment="1" pivotButton="0" quotePrefix="0" xfId="0">
      <alignment horizontal="center" vertical="center"/>
    </xf>
    <xf numFmtId="0" fontId="31" fillId="0" borderId="78" applyAlignment="1" pivotButton="0" quotePrefix="0" xfId="0">
      <alignment horizontal="center"/>
    </xf>
    <xf numFmtId="0" fontId="0" fillId="0" borderId="74" pivotButton="0" quotePrefix="0" xfId="0"/>
    <xf numFmtId="0" fontId="0" fillId="0" borderId="24" pivotButton="0" quotePrefix="0" xfId="0"/>
    <xf numFmtId="0" fontId="0" fillId="0" borderId="77" pivotButton="0" quotePrefix="0" xfId="0"/>
    <xf numFmtId="0" fontId="33" fillId="0" borderId="80" applyAlignment="1" pivotButton="0" quotePrefix="0" xfId="0">
      <alignment horizontal="center" vertical="center" wrapText="1"/>
    </xf>
    <xf numFmtId="166" fontId="34" fillId="0" borderId="1" applyAlignment="1" pivotButton="0" quotePrefix="0" xfId="0">
      <alignment horizontal="left" vertical="center"/>
    </xf>
    <xf numFmtId="166" fontId="34" fillId="0" borderId="2" applyAlignment="1" pivotButton="0" quotePrefix="0" xfId="0">
      <alignment horizontal="center" vertical="center" wrapText="1"/>
    </xf>
    <xf numFmtId="166" fontId="34" fillId="0" borderId="3" applyAlignment="1" pivotButton="0" quotePrefix="0" xfId="0">
      <alignment horizontal="center" vertical="center" wrapText="1"/>
    </xf>
    <xf numFmtId="173" fontId="35" fillId="0" borderId="23" applyAlignment="1" pivotButton="0" quotePrefix="0" xfId="2">
      <alignment horizontal="center"/>
    </xf>
    <xf numFmtId="176" fontId="36" fillId="0" borderId="0" applyAlignment="1" pivotButton="0" quotePrefix="0" xfId="2">
      <alignment horizontal="center"/>
    </xf>
    <xf numFmtId="169" fontId="36" fillId="0" borderId="0" applyAlignment="1" pivotButton="0" quotePrefix="0" xfId="2">
      <alignment horizontal="center"/>
    </xf>
    <xf numFmtId="167" fontId="37" fillId="0" borderId="32" applyAlignment="1" pivotButton="0" quotePrefix="0" xfId="1">
      <alignment vertical="center"/>
    </xf>
    <xf numFmtId="167" fontId="37" fillId="0" borderId="35" applyAlignment="1" pivotButton="0" quotePrefix="0" xfId="1">
      <alignment vertical="center"/>
    </xf>
    <xf numFmtId="170" fontId="36" fillId="0" borderId="0" applyAlignment="1" pivotButton="0" quotePrefix="0" xfId="1">
      <alignment horizontal="center"/>
    </xf>
    <xf numFmtId="189" fontId="36" fillId="0" borderId="0" applyAlignment="1" pivotButton="0" quotePrefix="0" xfId="2">
      <alignment horizontal="center"/>
    </xf>
    <xf numFmtId="177" fontId="36" fillId="0" borderId="0" applyAlignment="1" pivotButton="0" quotePrefix="0" xfId="0">
      <alignment horizontal="center"/>
    </xf>
    <xf numFmtId="167" fontId="37" fillId="0" borderId="35" applyAlignment="1" pivotButton="0" quotePrefix="0" xfId="1">
      <alignment horizontal="left" vertical="center"/>
    </xf>
    <xf numFmtId="167" fontId="37" fillId="0" borderId="40" applyAlignment="1" pivotButton="0" quotePrefix="0" xfId="1">
      <alignment vertical="center"/>
    </xf>
    <xf numFmtId="167" fontId="37" fillId="0" borderId="42" applyAlignment="1" pivotButton="0" quotePrefix="0" xfId="1">
      <alignment vertical="center"/>
    </xf>
    <xf numFmtId="168" fontId="31" fillId="0" borderId="9" applyAlignment="1" pivotButton="0" quotePrefix="0" xfId="0">
      <alignment vertical="center" wrapText="1"/>
    </xf>
    <xf numFmtId="167" fontId="41" fillId="0" borderId="13" applyAlignment="1" pivotButton="0" quotePrefix="0" xfId="0">
      <alignment horizontal="center" vertical="center" wrapText="1"/>
    </xf>
    <xf numFmtId="169" fontId="38" fillId="0" borderId="16" pivotButton="0" quotePrefix="0" xfId="0"/>
    <xf numFmtId="166" fontId="38" fillId="0" borderId="17" applyAlignment="1" pivotButton="0" quotePrefix="0" xfId="0">
      <alignment vertical="center"/>
    </xf>
    <xf numFmtId="169" fontId="38" fillId="0" borderId="0" pivotButton="0" quotePrefix="0" xfId="0"/>
    <xf numFmtId="166" fontId="38" fillId="0" borderId="8" applyAlignment="1" pivotButton="0" quotePrefix="0" xfId="0">
      <alignment vertical="center"/>
    </xf>
    <xf numFmtId="166" fontId="44" fillId="0" borderId="8" applyAlignment="1" pivotButton="0" quotePrefix="0" xfId="0">
      <alignment vertical="center"/>
    </xf>
    <xf numFmtId="166" fontId="44" fillId="0" borderId="20" applyAlignment="1" pivotButton="0" quotePrefix="0" xfId="0">
      <alignment vertical="center"/>
    </xf>
    <xf numFmtId="166" fontId="44" fillId="0" borderId="17" applyAlignment="1" pivotButton="0" quotePrefix="0" xfId="0">
      <alignment vertical="center"/>
    </xf>
    <xf numFmtId="169" fontId="44" fillId="0" borderId="0" pivotButton="0" quotePrefix="0" xfId="0"/>
    <xf numFmtId="166" fontId="43" fillId="0" borderId="8" applyAlignment="1" pivotButton="0" quotePrefix="0" xfId="0">
      <alignment vertical="center"/>
    </xf>
    <xf numFmtId="169" fontId="44" fillId="0" borderId="11" pivotButton="0" quotePrefix="0" xfId="0"/>
    <xf numFmtId="0" fontId="0" fillId="0" borderId="11" pivotButton="0" quotePrefix="0" xfId="0"/>
    <xf numFmtId="166" fontId="43" fillId="0" borderId="9" applyAlignment="1" pivotButton="0" quotePrefix="0" xfId="0">
      <alignment vertical="center"/>
    </xf>
    <xf numFmtId="0" fontId="46" fillId="3" borderId="79" applyAlignment="1" pivotButton="0" quotePrefix="0" xfId="0">
      <alignment horizontal="center"/>
    </xf>
    <xf numFmtId="0" fontId="0" fillId="0" borderId="54" pivotButton="0" quotePrefix="0" xfId="0"/>
    <xf numFmtId="0" fontId="0" fillId="0" borderId="44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22411</colOff>
      <row>1</row>
      <rowOff>11205</rowOff>
    </from>
    <ext cx="3081618" cy="701101"/>
    <pic>
      <nvPicPr>
        <cNvPr id="7" name="Picture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2011" y="196511955"/>
          <a:ext cx="3081618" cy="701101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73"/>
  <sheetViews>
    <sheetView tabSelected="1" zoomScale="76" zoomScaleNormal="76" workbookViewId="0">
      <selection activeCell="G20" sqref="G20"/>
    </sheetView>
  </sheetViews>
  <sheetFormatPr baseColWidth="8" defaultRowHeight="14.5"/>
  <cols>
    <col width="3.26953125" customWidth="1" min="1" max="1"/>
    <col width="28.54296875" customWidth="1" min="2" max="2"/>
    <col width="28.453125" customWidth="1" min="3" max="3"/>
    <col width="20.81640625" customWidth="1" min="4" max="4"/>
    <col width="26.81640625" customWidth="1" min="5" max="5"/>
    <col width="23.1796875" customWidth="1" min="6" max="6"/>
    <col width="32.1796875" customWidth="1" min="7" max="7"/>
  </cols>
  <sheetData>
    <row r="1" ht="15" customHeight="1" thickBot="1"/>
    <row r="2" ht="24.5" customHeight="1">
      <c r="B2" s="149" t="inlineStr">
        <is>
          <t>n</t>
        </is>
      </c>
      <c r="C2" s="150" t="inlineStr">
        <is>
          <t>.</t>
        </is>
      </c>
      <c r="D2" s="400" t="n"/>
      <c r="E2" s="398" t="n"/>
      <c r="F2" s="153" t="inlineStr">
        <is>
          <t>DUTY PAYMENT REQUEST</t>
        </is>
      </c>
      <c r="G2" s="305" t="n"/>
    </row>
    <row r="3" ht="15.5" customHeight="1">
      <c r="B3" s="155" t="n"/>
      <c r="C3" s="156" t="inlineStr">
        <is>
          <t>+</t>
        </is>
      </c>
      <c r="D3" s="156" t="n"/>
      <c r="E3" s="156" t="n"/>
      <c r="F3" s="156" t="n"/>
      <c r="G3" s="303" t="n"/>
    </row>
    <row r="4" ht="15.5" customHeight="1">
      <c r="B4" s="157" t="n"/>
      <c r="C4" s="158" t="n"/>
      <c r="D4" s="158" t="n"/>
      <c r="E4" s="159" t="n"/>
      <c r="F4" s="159" t="inlineStr">
        <is>
          <t>INVOICE NO:</t>
        </is>
      </c>
      <c r="G4" s="460" t="n"/>
    </row>
    <row r="5" ht="15.5" customHeight="1">
      <c r="B5" s="161" t="n"/>
      <c r="C5" s="162" t="n"/>
      <c r="D5" s="162" t="n"/>
      <c r="E5" s="162" t="n"/>
      <c r="F5" s="162" t="n"/>
      <c r="G5" s="307" t="n"/>
    </row>
    <row r="6" ht="15.5" customHeight="1">
      <c r="B6" s="163" t="inlineStr">
        <is>
          <t xml:space="preserve">           FROM: </t>
        </is>
      </c>
      <c r="C6" s="158" t="inlineStr">
        <is>
          <t>LOGISTICS</t>
        </is>
      </c>
      <c r="D6" s="158" t="n"/>
      <c r="E6" s="159" t="n"/>
      <c r="F6" s="159" t="inlineStr">
        <is>
          <t>DUTY AMOUNT:</t>
        </is>
      </c>
      <c r="G6" s="506" t="n"/>
    </row>
    <row r="7" ht="15.5" customHeight="1">
      <c r="B7" s="163" t="n"/>
      <c r="C7" s="158" t="n"/>
      <c r="D7" s="158" t="n"/>
      <c r="E7" s="159" t="n"/>
      <c r="F7" s="159" t="n"/>
      <c r="G7" s="506" t="n"/>
    </row>
    <row r="8" ht="15.5" customHeight="1">
      <c r="B8" s="163" t="n"/>
      <c r="C8" s="158" t="n"/>
      <c r="D8" s="158" t="n"/>
      <c r="E8" s="159" t="n"/>
      <c r="F8" s="159" t="inlineStr">
        <is>
          <t>DATE:</t>
        </is>
      </c>
      <c r="G8" s="507" t="n"/>
    </row>
    <row r="9" ht="15.5" customHeight="1">
      <c r="B9" s="163" t="inlineStr">
        <is>
          <t>PRIORITY</t>
        </is>
      </c>
      <c r="C9" s="475" t="n"/>
      <c r="E9" s="159" t="n"/>
      <c r="F9" s="159" t="n"/>
      <c r="G9" s="506" t="n"/>
    </row>
    <row r="10" ht="15.5" customHeight="1">
      <c r="B10" s="157" t="n"/>
      <c r="C10" s="165" t="n"/>
      <c r="D10" s="158" t="n"/>
      <c r="E10" s="159" t="n"/>
      <c r="F10" s="165" t="inlineStr">
        <is>
          <t>SUPPLIER:</t>
        </is>
      </c>
      <c r="G10" s="307" t="n"/>
    </row>
    <row r="11" ht="30.5" customHeight="1">
      <c r="B11" s="166" t="inlineStr">
        <is>
          <t xml:space="preserve">                                     TO:</t>
        </is>
      </c>
      <c r="C11" s="167" t="inlineStr">
        <is>
          <t>ACCOUNT DEPT</t>
        </is>
      </c>
      <c r="D11" s="158" t="n"/>
      <c r="E11" s="159" t="n"/>
      <c r="F11" s="159" t="inlineStr">
        <is>
          <t>RECEIVING BRANCH:</t>
        </is>
      </c>
      <c r="G11" s="508" t="n"/>
    </row>
    <row r="12" ht="15.5" customHeight="1">
      <c r="B12" s="166" t="n"/>
      <c r="C12" s="167" t="n"/>
      <c r="D12" s="158" t="n"/>
      <c r="E12" s="159" t="n"/>
      <c r="F12" s="159" t="n"/>
    </row>
    <row r="13" ht="17.5" customHeight="1">
      <c r="B13" s="168" t="inlineStr">
        <is>
          <t>Declaration No:</t>
        </is>
      </c>
      <c r="C13" s="169" t="n"/>
      <c r="D13" s="169" t="n"/>
      <c r="E13" s="159" t="n"/>
      <c r="F13" s="159" t="inlineStr">
        <is>
          <t>CHARGE TO:</t>
        </is>
      </c>
      <c r="G13" s="310" t="n"/>
    </row>
    <row r="14" ht="17.5" customHeight="1">
      <c r="B14" s="170" t="inlineStr">
        <is>
          <t xml:space="preserve">               PAYABLE TO: </t>
        </is>
      </c>
      <c r="C14" s="509" t="inlineStr">
        <is>
          <t>GHANA REVENUE AUTHORITY(CUSTOMS)</t>
        </is>
      </c>
      <c r="D14" s="510" t="n"/>
      <c r="E14" s="510" t="n"/>
      <c r="F14" s="510" t="n"/>
      <c r="G14" s="511" t="n"/>
    </row>
    <row r="15" ht="15.5" customHeight="1">
      <c r="B15" s="171" t="n"/>
      <c r="C15" s="172" t="n"/>
      <c r="D15" s="173" t="n"/>
      <c r="E15" s="173" t="n"/>
      <c r="F15" s="173" t="n"/>
      <c r="G15" s="311" t="n"/>
    </row>
    <row r="16" ht="18" customHeight="1" thickBot="1">
      <c r="B16" s="174" t="inlineStr">
        <is>
          <t xml:space="preserve"> BEING</t>
        </is>
      </c>
      <c r="C16" s="499" t="inlineStr">
        <is>
          <t xml:space="preserve">Cost of Duty &amp; other Charges for Invoice </t>
        </is>
      </c>
      <c r="D16" s="512" t="n"/>
      <c r="E16" s="512" t="n"/>
      <c r="F16" s="160">
        <f>G4</f>
        <v/>
      </c>
      <c r="G16" s="178" t="n"/>
    </row>
    <row r="17" ht="22" customHeight="1">
      <c r="B17" s="513" t="inlineStr">
        <is>
          <t>Supplier Invoice Details</t>
        </is>
      </c>
      <c r="C17" s="510" t="n"/>
      <c r="D17" s="511" t="n"/>
      <c r="E17" s="514" t="inlineStr">
        <is>
          <t>MODE OF PAYMENT: Online Payment</t>
        </is>
      </c>
      <c r="F17" s="515" t="n"/>
      <c r="G17" s="516" t="n"/>
    </row>
    <row r="18" ht="18" customHeight="1" thickBot="1">
      <c r="B18" s="182" t="n"/>
      <c r="C18" s="517" t="inlineStr">
        <is>
          <t>Amount (USD)</t>
        </is>
      </c>
      <c r="D18" s="517" t="n"/>
      <c r="E18" s="184" t="inlineStr">
        <is>
          <t>CHARGE LINES</t>
        </is>
      </c>
      <c r="F18" s="185" t="n"/>
      <c r="G18" s="186" t="inlineStr">
        <is>
          <t>TOTAL-GHS</t>
        </is>
      </c>
    </row>
    <row r="19" ht="15.5" customHeight="1">
      <c r="B19" s="187" t="inlineStr">
        <is>
          <t>Total Invoice Value (CFR/CIF)</t>
        </is>
      </c>
      <c r="C19" s="518" t="n"/>
      <c r="D19" s="519" t="n"/>
      <c r="E19" s="190" t="inlineStr">
        <is>
          <t>Import Duty and Levies</t>
        </is>
      </c>
      <c r="F19" s="191" t="n"/>
      <c r="G19" s="520">
        <f>G6-G20</f>
        <v/>
      </c>
    </row>
    <row r="20" ht="15.5" customHeight="1">
      <c r="B20" s="187" t="n"/>
      <c r="C20" s="192" t="n"/>
      <c r="D20" s="192" t="n"/>
      <c r="E20" s="193" t="inlineStr">
        <is>
          <t>Import/Net VAT</t>
        </is>
      </c>
      <c r="F20" s="194" t="n"/>
      <c r="G20" s="521" t="n"/>
    </row>
    <row r="21" ht="15.5" customHeight="1">
      <c r="B21" s="187" t="inlineStr">
        <is>
          <t xml:space="preserve">Exchange Rate </t>
        </is>
      </c>
      <c r="C21" s="195" t="n"/>
      <c r="D21" s="522" t="n"/>
      <c r="E21" s="193" t="n"/>
      <c r="F21" s="194" t="n"/>
      <c r="G21" s="521" t="n"/>
    </row>
    <row r="22" ht="15.5" customHeight="1">
      <c r="B22" s="197" t="n"/>
      <c r="C22" s="198" t="n"/>
      <c r="D22" s="198" t="n"/>
      <c r="E22" s="193" t="n"/>
      <c r="F22" s="194" t="n"/>
      <c r="G22" s="521" t="n"/>
    </row>
    <row r="23" ht="15.5" customHeight="1">
      <c r="B23" s="197" t="n"/>
      <c r="C23" s="199" t="n"/>
      <c r="D23" s="198" t="n"/>
      <c r="E23" s="193" t="n"/>
      <c r="F23" s="194" t="n"/>
      <c r="G23" s="521" t="n"/>
    </row>
    <row r="24" ht="15.5" customHeight="1">
      <c r="B24" s="187" t="inlineStr">
        <is>
          <t>Total Duty (BOG Rate)</t>
        </is>
      </c>
      <c r="C24" s="523">
        <f>G6/C21</f>
        <v/>
      </c>
      <c r="D24" s="519" t="n"/>
      <c r="E24" s="193" t="n"/>
      <c r="F24" s="194" t="n"/>
      <c r="G24" s="521" t="n"/>
    </row>
    <row r="25" ht="16.5" customHeight="1">
      <c r="B25" s="187" t="n"/>
      <c r="C25" s="524" t="n"/>
      <c r="D25" s="192" t="n"/>
      <c r="E25" s="146" t="inlineStr">
        <is>
          <t>BOE Attached with Details</t>
        </is>
      </c>
      <c r="F25" s="147" t="n"/>
      <c r="G25" s="521" t="n"/>
    </row>
    <row r="26" ht="15.5" customHeight="1">
      <c r="B26" s="187" t="inlineStr">
        <is>
          <t>% OF DUTY ON INVOICE CFR/CIF</t>
        </is>
      </c>
      <c r="C26" s="201">
        <f>C24/C19</f>
        <v/>
      </c>
      <c r="D26" s="201" t="n"/>
      <c r="E26" s="193" t="n"/>
      <c r="F26" s="194" t="n"/>
      <c r="G26" s="521" t="n"/>
    </row>
    <row r="27" ht="15.5" customHeight="1">
      <c r="B27" s="187" t="n"/>
      <c r="C27" s="201" t="n"/>
      <c r="D27" s="201" t="n"/>
      <c r="E27" s="193" t="n"/>
      <c r="F27" s="194" t="n"/>
      <c r="G27" s="521" t="n"/>
    </row>
    <row r="28" ht="15.5" customHeight="1">
      <c r="B28" s="187" t="n"/>
      <c r="C28" s="201" t="n"/>
      <c r="D28" s="201" t="n"/>
      <c r="E28" s="193" t="n"/>
      <c r="F28" s="194" t="n"/>
      <c r="G28" s="521" t="n"/>
    </row>
    <row r="29" ht="15.5" customHeight="1">
      <c r="B29" s="187" t="n"/>
      <c r="C29" s="201" t="n"/>
      <c r="D29" s="201" t="n"/>
      <c r="E29" s="193" t="n"/>
      <c r="F29" s="194" t="n"/>
      <c r="G29" s="521" t="n"/>
    </row>
    <row r="30" ht="16" customHeight="1" thickBot="1">
      <c r="B30" s="187" t="n"/>
      <c r="C30" s="202" t="n"/>
      <c r="D30" s="202" t="n"/>
      <c r="E30" s="193" t="n"/>
      <c r="F30" s="194" t="n"/>
      <c r="G30" s="521" t="n"/>
    </row>
    <row r="31" ht="15.5" customHeight="1">
      <c r="B31" s="203" t="inlineStr">
        <is>
          <t>Product Line</t>
        </is>
      </c>
      <c r="C31" s="204" t="inlineStr">
        <is>
          <t>Ave. Duty + Levy Rate</t>
        </is>
      </c>
      <c r="D31" s="205" t="n"/>
      <c r="E31" s="193" t="n"/>
      <c r="F31" s="194" t="n"/>
      <c r="G31" s="521" t="n"/>
    </row>
    <row r="32" ht="15.5" customHeight="1">
      <c r="B32" s="206" t="inlineStr">
        <is>
          <t>Cat/Delta Parts</t>
        </is>
      </c>
      <c r="C32" s="207" t="n">
        <v>0.3635</v>
      </c>
      <c r="D32" s="208" t="n"/>
      <c r="E32" s="193" t="n"/>
      <c r="F32" s="194" t="n"/>
      <c r="G32" s="521" t="n"/>
    </row>
    <row r="33" ht="15.5" customHeight="1">
      <c r="B33" s="206" t="inlineStr">
        <is>
          <t>Machines</t>
        </is>
      </c>
      <c r="C33" s="207" t="n">
        <v>0.08</v>
      </c>
      <c r="D33" s="208" t="n"/>
      <c r="E33" s="193" t="n"/>
      <c r="F33" s="194" t="n"/>
      <c r="G33" s="521" t="n"/>
    </row>
    <row r="34" ht="15.5" customHeight="1">
      <c r="B34" s="206" t="inlineStr">
        <is>
          <t>Generator Set-Below 375KVA</t>
        </is>
      </c>
      <c r="C34" s="207" t="n">
        <v>0.3135</v>
      </c>
      <c r="D34" s="208" t="n"/>
      <c r="E34" s="193" t="n"/>
      <c r="F34" s="194" t="n"/>
      <c r="G34" s="521" t="n"/>
    </row>
    <row r="35" ht="15.5" customHeight="1">
      <c r="B35" s="206" t="inlineStr">
        <is>
          <t>Generator Set-Above 375KVA</t>
        </is>
      </c>
      <c r="C35" s="207" t="n">
        <v>0.08</v>
      </c>
      <c r="D35" s="208" t="n"/>
      <c r="E35" s="193" t="n"/>
      <c r="F35" s="194" t="n"/>
      <c r="G35" s="525" t="n"/>
    </row>
    <row r="36" ht="15.5" customHeight="1">
      <c r="B36" s="206" t="inlineStr">
        <is>
          <t>Lubricants/ExxonMobil</t>
        </is>
      </c>
      <c r="C36" s="207" t="n">
        <v>0.3635</v>
      </c>
      <c r="D36" s="208" t="n"/>
      <c r="E36" s="193" t="n"/>
      <c r="F36" s="194" t="n"/>
      <c r="G36" s="521" t="n"/>
    </row>
    <row r="37" ht="15" customHeight="1">
      <c r="B37" s="206" t="inlineStr">
        <is>
          <t xml:space="preserve">Engines </t>
        </is>
      </c>
      <c r="C37" s="207" t="n">
        <v>0.3635</v>
      </c>
      <c r="D37" s="208" t="n"/>
      <c r="E37" s="210" t="n"/>
      <c r="F37" s="211" t="n"/>
      <c r="G37" s="521" t="n"/>
    </row>
    <row r="38" ht="15.5" customHeight="1">
      <c r="B38" s="212" t="inlineStr">
        <is>
          <t>Others</t>
        </is>
      </c>
      <c r="C38" s="207" t="n">
        <v>0.3635</v>
      </c>
      <c r="D38" s="208" t="n"/>
      <c r="E38" s="193" t="n"/>
      <c r="F38" s="194" t="n"/>
      <c r="G38" s="521" t="n"/>
    </row>
    <row r="39" ht="15.5" customHeight="1">
      <c r="B39" s="206" t="inlineStr">
        <is>
          <t xml:space="preserve">Exemption Items </t>
        </is>
      </c>
      <c r="C39" s="213" t="n">
        <v>0.0635</v>
      </c>
      <c r="D39" s="214" t="n"/>
      <c r="E39" s="193" t="n"/>
      <c r="F39" s="215" t="n"/>
      <c r="G39" s="526" t="n"/>
    </row>
    <row r="40" ht="16" customHeight="1" thickBot="1">
      <c r="B40" s="212" t="inlineStr">
        <is>
          <t>20% Rated Items</t>
        </is>
      </c>
      <c r="C40" s="213" t="n">
        <v>0.4635</v>
      </c>
      <c r="D40" s="214" t="n"/>
      <c r="E40" s="216" t="n"/>
      <c r="F40" s="217" t="n"/>
      <c r="G40" s="527" t="n"/>
    </row>
    <row r="41" ht="18" customHeight="1" thickBot="1">
      <c r="B41" s="218" t="inlineStr">
        <is>
          <t>INPUT 15% VAT WILL BE TREATED AT THE TIME OF INVOICING, SO NOT ADDED TO THE COST BUILD UP</t>
        </is>
      </c>
      <c r="C41" s="219" t="n"/>
      <c r="D41" s="219" t="n"/>
      <c r="E41" s="220" t="inlineStr">
        <is>
          <t>TOTAL DUTY</t>
        </is>
      </c>
      <c r="F41" s="221" t="n"/>
      <c r="G41" s="528">
        <f>SUM(G19:G40)</f>
        <v/>
      </c>
    </row>
    <row r="42">
      <c r="B42" s="223" t="inlineStr">
        <is>
          <t>AUTHORISATION</t>
        </is>
      </c>
      <c r="C42" s="224" t="n"/>
      <c r="D42" s="224" t="n"/>
      <c r="E42" s="224" t="n"/>
      <c r="F42" s="224" t="n"/>
      <c r="G42" s="529" t="n"/>
    </row>
    <row r="43">
      <c r="B43" s="226" t="inlineStr">
        <is>
          <t xml:space="preserve">PREPARED BY: </t>
        </is>
      </c>
      <c r="C43" s="227" t="n"/>
      <c r="D43" s="228" t="n"/>
      <c r="E43" s="229" t="inlineStr">
        <is>
          <t xml:space="preserve">AUTHORISED BY: </t>
        </is>
      </c>
      <c r="F43" s="530" t="n"/>
      <c r="G43" s="531" t="n"/>
    </row>
    <row r="44">
      <c r="B44" s="231" t="n"/>
      <c r="C44" s="232" t="n"/>
      <c r="D44" s="233" t="n"/>
      <c r="E44" s="234" t="n"/>
      <c r="F44" s="532" t="n"/>
      <c r="G44" s="533" t="n"/>
    </row>
    <row r="45">
      <c r="B45" s="231" t="n"/>
      <c r="C45" s="232" t="n"/>
      <c r="D45" s="233" t="n"/>
      <c r="E45" s="234" t="n"/>
      <c r="F45" s="532" t="n"/>
      <c r="G45" s="533" t="n"/>
    </row>
    <row r="46">
      <c r="B46" s="231" t="n"/>
      <c r="C46" s="232" t="n"/>
      <c r="D46" s="233" t="n"/>
      <c r="E46" s="234" t="n"/>
      <c r="F46" s="532" t="n"/>
      <c r="G46" s="533" t="n"/>
    </row>
    <row r="47">
      <c r="B47" s="231" t="n"/>
      <c r="C47" s="232" t="n"/>
      <c r="D47" s="233" t="n"/>
      <c r="E47" s="234" t="n"/>
      <c r="F47" s="532" t="n"/>
      <c r="G47" s="533" t="n"/>
    </row>
    <row r="48" ht="15" customHeight="1">
      <c r="B48" s="236" t="inlineStr">
        <is>
          <t>………………………….</t>
        </is>
      </c>
      <c r="C48" s="237" t="n"/>
      <c r="D48" s="238" t="n"/>
      <c r="E48" s="239" t="n"/>
      <c r="F48" s="240" t="n"/>
      <c r="G48" s="534" t="n"/>
    </row>
    <row r="49">
      <c r="B49" s="241" t="inlineStr">
        <is>
          <t>NATIONAL SERVICE PERSONNEL</t>
        </is>
      </c>
      <c r="C49" s="237" t="n"/>
      <c r="D49" s="238" t="n"/>
      <c r="E49" s="239" t="inlineStr">
        <is>
          <t>……………………………………………..</t>
        </is>
      </c>
      <c r="F49" s="240" t="n"/>
      <c r="G49" s="534" t="n"/>
    </row>
    <row r="50">
      <c r="B50" s="241" t="inlineStr">
        <is>
          <t>WILHEMINA BAAH</t>
        </is>
      </c>
      <c r="C50" s="237" t="n"/>
      <c r="D50" s="238" t="n"/>
      <c r="E50" s="242" t="inlineStr">
        <is>
          <t>DEPARTMENTAL HEAD</t>
        </is>
      </c>
      <c r="F50" s="243" t="n"/>
      <c r="G50" s="535" t="n"/>
    </row>
    <row r="51" ht="15.5" customHeight="1">
      <c r="B51" s="226" t="inlineStr">
        <is>
          <t>LOGISTICS MANAGER</t>
        </is>
      </c>
      <c r="C51" s="244" t="n"/>
      <c r="D51" s="245" t="n"/>
      <c r="E51" s="246" t="inlineStr">
        <is>
          <t xml:space="preserve">ACCOUNT SIGN: </t>
        </is>
      </c>
      <c r="F51" s="247" t="n"/>
      <c r="G51" s="536" t="n"/>
    </row>
    <row r="52" ht="15.5" customHeight="1">
      <c r="B52" s="231" t="n"/>
      <c r="C52" s="237" t="n"/>
      <c r="D52" s="238" t="n"/>
      <c r="E52" s="158" t="n"/>
      <c r="F52" s="240" t="n"/>
      <c r="G52" s="534" t="n"/>
    </row>
    <row r="53" ht="15.5" customHeight="1">
      <c r="B53" s="231" t="n"/>
      <c r="C53" s="237" t="n"/>
      <c r="D53" s="238" t="n"/>
      <c r="E53" s="158" t="n"/>
      <c r="F53" s="240" t="n"/>
      <c r="G53" s="534" t="n"/>
    </row>
    <row r="54" ht="15.5" customHeight="1">
      <c r="B54" s="231" t="n"/>
      <c r="C54" s="237" t="n"/>
      <c r="D54" s="238" t="n"/>
      <c r="E54" s="158" t="n"/>
      <c r="F54" s="240" t="n"/>
      <c r="G54" s="534" t="n"/>
    </row>
    <row r="55" ht="15.5" customHeight="1">
      <c r="B55" s="231" t="n"/>
      <c r="C55" s="237" t="n"/>
      <c r="D55" s="238" t="n"/>
      <c r="E55" s="158" t="n"/>
      <c r="F55" s="240" t="n"/>
      <c r="G55" s="534" t="n"/>
    </row>
    <row r="56" ht="15.5" customHeight="1">
      <c r="B56" s="248" t="inlineStr">
        <is>
          <t>………………………..</t>
        </is>
      </c>
      <c r="C56" s="537" t="n"/>
      <c r="D56" s="250" t="n"/>
      <c r="E56" s="251" t="inlineStr">
        <is>
          <t>………………………………………………..</t>
        </is>
      </c>
      <c r="F56" s="240" t="n"/>
      <c r="G56" s="538" t="n"/>
    </row>
    <row r="57" ht="15.5" customHeight="1">
      <c r="B57" s="248" t="n"/>
      <c r="C57" s="537" t="n"/>
      <c r="D57" s="250" t="n"/>
      <c r="E57" s="251" t="n"/>
      <c r="F57" s="240" t="n"/>
      <c r="G57" s="538" t="n"/>
    </row>
    <row r="58" ht="15" customHeight="1" thickBot="1">
      <c r="B58" s="252" t="inlineStr">
        <is>
          <t>ERIC ASARE</t>
        </is>
      </c>
      <c r="C58" s="539" t="n"/>
      <c r="D58" s="254" t="n"/>
      <c r="E58" s="484" t="inlineStr">
        <is>
          <t>BEATRICE FRIMPOMAA ADDO</t>
        </is>
      </c>
      <c r="F58" s="540" t="n"/>
      <c r="G58" s="541" t="n"/>
    </row>
    <row r="59" ht="16" customHeight="1" thickBot="1">
      <c r="B59" s="542" t="inlineStr">
        <is>
          <t xml:space="preserve">Treasury Section </t>
        </is>
      </c>
      <c r="C59" s="543" t="n"/>
      <c r="D59" s="543" t="n"/>
      <c r="E59" s="543" t="n"/>
      <c r="F59" s="543" t="n"/>
      <c r="G59" s="544" t="n"/>
    </row>
    <row r="60" ht="15.5" customHeight="1">
      <c r="B60" s="255" t="n"/>
      <c r="C60" s="256" t="n"/>
      <c r="D60" s="257" t="n"/>
      <c r="E60" s="258" t="n"/>
      <c r="F60" s="256" t="n"/>
      <c r="G60" s="323" t="n"/>
    </row>
    <row r="61" ht="15.5" customHeight="1">
      <c r="B61" s="259" t="inlineStr">
        <is>
          <t xml:space="preserve">Prepared By </t>
        </is>
      </c>
      <c r="C61" s="256" t="n"/>
      <c r="D61" s="257" t="n"/>
      <c r="E61" s="258" t="n"/>
      <c r="F61" s="260" t="inlineStr">
        <is>
          <t>1st Authorizer</t>
        </is>
      </c>
      <c r="G61" s="324" t="n"/>
    </row>
    <row r="62" ht="15.5" customHeight="1">
      <c r="B62" s="259" t="n"/>
      <c r="C62" s="256" t="n"/>
      <c r="D62" s="257" t="n"/>
      <c r="E62" s="258" t="n"/>
      <c r="F62" s="260" t="n"/>
      <c r="G62" s="324" t="n"/>
    </row>
    <row r="63" ht="15.5" customHeight="1">
      <c r="B63" s="259" t="n"/>
      <c r="C63" s="256" t="n"/>
      <c r="D63" s="257" t="n"/>
      <c r="E63" s="258" t="n"/>
      <c r="F63" s="260" t="n"/>
      <c r="G63" s="324" t="n"/>
    </row>
    <row r="64" ht="15.5" customHeight="1">
      <c r="B64" s="255" t="n"/>
      <c r="C64" s="256" t="n"/>
      <c r="D64" s="257" t="n"/>
      <c r="E64" s="258" t="n"/>
      <c r="F64" s="154" t="n"/>
      <c r="G64" s="324" t="n"/>
    </row>
    <row r="65" ht="15.5" customHeight="1">
      <c r="B65" s="261" t="n"/>
      <c r="C65" s="256" t="n"/>
      <c r="D65" s="257" t="n"/>
      <c r="E65" s="258" t="n"/>
      <c r="F65" s="256" t="n"/>
      <c r="G65" s="324" t="n"/>
    </row>
    <row r="66" ht="15.5" customHeight="1">
      <c r="B66" s="261" t="n"/>
      <c r="C66" s="256" t="n"/>
      <c r="D66" s="257" t="n"/>
      <c r="E66" s="258" t="n"/>
      <c r="F66" s="256" t="n"/>
      <c r="G66" s="324" t="n"/>
    </row>
    <row r="67" ht="16" customHeight="1" thickBot="1">
      <c r="B67" s="261" t="inlineStr">
        <is>
          <t>…................................</t>
        </is>
      </c>
      <c r="C67" s="256" t="n"/>
      <c r="D67" s="257" t="n"/>
      <c r="E67" s="258" t="n"/>
      <c r="F67" s="256" t="inlineStr">
        <is>
          <t>…..........................................</t>
        </is>
      </c>
      <c r="G67" s="324" t="n"/>
    </row>
    <row r="68" ht="15.5" customHeight="1">
      <c r="B68" s="273" t="inlineStr">
        <is>
          <t>Reviewed by</t>
        </is>
      </c>
      <c r="C68" s="274" t="n"/>
      <c r="D68" s="275" t="n"/>
      <c r="E68" s="274" t="n"/>
      <c r="F68" s="276" t="inlineStr">
        <is>
          <t>2nd Authorizer</t>
        </is>
      </c>
      <c r="G68" s="323" t="n"/>
    </row>
    <row r="69" ht="15.5" customHeight="1">
      <c r="B69" s="255" t="n"/>
      <c r="C69" s="256" t="n"/>
      <c r="D69" s="257" t="n"/>
      <c r="E69" s="256" t="n"/>
      <c r="F69" s="154" t="n"/>
      <c r="G69" s="324" t="n"/>
    </row>
    <row r="70" ht="15.5" customHeight="1">
      <c r="B70" s="255" t="n"/>
      <c r="C70" s="256" t="n"/>
      <c r="D70" s="257" t="n"/>
      <c r="E70" s="256" t="n"/>
      <c r="F70" s="154" t="n"/>
      <c r="G70" s="324" t="n"/>
    </row>
    <row r="71" ht="15.5" customHeight="1">
      <c r="B71" s="261" t="n"/>
      <c r="C71" s="256" t="n"/>
      <c r="D71" s="257" t="n"/>
      <c r="E71" s="256" t="n"/>
      <c r="F71" s="256" t="n"/>
      <c r="G71" s="324" t="n"/>
    </row>
    <row r="72" ht="15.5" customHeight="1">
      <c r="B72" s="261" t="n"/>
      <c r="C72" s="256" t="n"/>
      <c r="D72" s="257" t="n"/>
      <c r="E72" s="256" t="n"/>
      <c r="F72" s="256" t="n"/>
      <c r="G72" s="324" t="n"/>
    </row>
    <row r="73" ht="16" customHeight="1" thickBot="1">
      <c r="B73" s="266" t="inlineStr">
        <is>
          <t>…..........................................</t>
        </is>
      </c>
      <c r="C73" s="267" t="n"/>
      <c r="D73" s="268" t="n"/>
      <c r="E73" s="267" t="n"/>
      <c r="F73" s="267" t="inlineStr">
        <is>
          <t>…..........................................</t>
        </is>
      </c>
      <c r="G73" s="325" t="n"/>
    </row>
  </sheetData>
  <mergeCells count="6">
    <mergeCell ref="C16:E16"/>
    <mergeCell ref="B59:G59"/>
    <mergeCell ref="B17:D17"/>
    <mergeCell ref="C14:G14"/>
    <mergeCell ref="C9:D9"/>
    <mergeCell ref="E58:F58"/>
  </mergeCells>
  <dataValidations disablePrompts="1" count="1">
    <dataValidation sqref="C9" showDropDown="0" showInputMessage="1" showErrorMessage="1" allowBlank="1" type="list">
      <formula1>"BOND - TOP TOP URGENT, AIR FREIGHT - TOP URGENT, SEA - 3 DAYS TO ARRIVAL 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F30"/>
  <sheetViews>
    <sheetView workbookViewId="0">
      <selection activeCell="D13" sqref="D13:D17"/>
    </sheetView>
  </sheetViews>
  <sheetFormatPr baseColWidth="8" defaultRowHeight="14.5"/>
  <cols>
    <col width="27.7265625" bestFit="1" customWidth="1" min="3" max="3"/>
    <col width="45.26953125" bestFit="1" customWidth="1" min="4" max="4"/>
  </cols>
  <sheetData>
    <row r="4">
      <c r="C4" s="462" t="inlineStr">
        <is>
          <t>User Reference</t>
        </is>
      </c>
    </row>
    <row r="5">
      <c r="C5" s="462" t="inlineStr">
        <is>
          <t xml:space="preserve">Bill of Entry(BOE) No </t>
        </is>
      </c>
    </row>
    <row r="6">
      <c r="C6" s="462" t="inlineStr">
        <is>
          <t>BL/AWB No :</t>
        </is>
      </c>
      <c r="F6" s="287" t="n"/>
    </row>
    <row r="7">
      <c r="C7" s="462" t="inlineStr">
        <is>
          <t>Date</t>
        </is>
      </c>
    </row>
    <row r="10">
      <c r="C10" s="462" t="inlineStr">
        <is>
          <t xml:space="preserve"> Import Duty and Levies</t>
        </is>
      </c>
      <c r="D10" s="461" t="inlineStr">
        <is>
          <t xml:space="preserve">(Duty Amount - Import/Net VAT) </t>
        </is>
      </c>
      <c r="E10" s="461" t="n"/>
      <c r="F10" s="461" t="n"/>
    </row>
    <row r="13">
      <c r="C13" s="462" t="inlineStr">
        <is>
          <t>Import/Net VAT</t>
        </is>
      </c>
      <c r="D13" s="461" t="inlineStr">
        <is>
          <t>Import Vat</t>
        </is>
      </c>
    </row>
    <row r="14">
      <c r="D14" s="461" t="inlineStr">
        <is>
          <t>Netwrok Charge VAT</t>
        </is>
      </c>
    </row>
    <row r="15">
      <c r="D15" s="461" t="inlineStr">
        <is>
          <t>Import NHIL</t>
        </is>
      </c>
    </row>
    <row r="16">
      <c r="D16" s="461" t="inlineStr">
        <is>
          <t>Ghana Educatioin Trust (GET) Fund Import</t>
        </is>
      </c>
    </row>
    <row r="17">
      <c r="D17" s="461" t="inlineStr">
        <is>
          <t>Netwrok Charge VAT Fund Levy</t>
        </is>
      </c>
    </row>
    <row r="19">
      <c r="C19" s="462" t="inlineStr">
        <is>
          <t xml:space="preserve">Total Duty </t>
        </is>
      </c>
    </row>
    <row r="20">
      <c r="D20" s="461" t="inlineStr">
        <is>
          <t>Import Duty and Levies</t>
        </is>
      </c>
    </row>
    <row r="21">
      <c r="D21" s="461" t="inlineStr">
        <is>
          <t>Import/Net VAT</t>
        </is>
      </c>
    </row>
    <row r="24">
      <c r="C24" s="462" t="inlineStr">
        <is>
          <t xml:space="preserve">Exchange Rate </t>
        </is>
      </c>
    </row>
    <row r="26">
      <c r="C26" s="462" t="inlineStr">
        <is>
          <t>Total Duty (BOG Rate)</t>
        </is>
      </c>
      <c r="D26" s="461" t="inlineStr">
        <is>
          <t xml:space="preserve">Exchange Rate  / Duty Amount </t>
        </is>
      </c>
    </row>
    <row r="28">
      <c r="C28" s="462" t="inlineStr">
        <is>
          <t>Total Invoice Value (CFR/CIF)</t>
        </is>
      </c>
    </row>
    <row r="30">
      <c r="C30" s="462" t="inlineStr">
        <is>
          <t>% OF DUTY ON INVOICE CFR/CIF</t>
        </is>
      </c>
      <c r="D30" s="461" t="inlineStr">
        <is>
          <t>Total Duty (BOG Rate) / Total Invoice Value (CFR/CIF)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Emmanuel Okai-Aboagye</dc:creator>
  <dcterms:created xsi:type="dcterms:W3CDTF">2022-03-08T10:45:23Z</dcterms:created>
  <dcterms:modified xsi:type="dcterms:W3CDTF">2026-10-06T09:10:45Z</dcterms:modified>
  <cp:lastModifiedBy>Hazem Naguib</cp:lastModifiedBy>
  <cp:lastPrinted>2026-07-21T10:27:11Z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b2d7141-660b-44fa-b839-f6f280bdb246_Enabled" fmtid="{D5CDD505-2E9C-101B-9397-08002B2CF9AE}" pid="2">
    <vt:lpwstr>true</vt:lpwstr>
  </property>
  <property name="MSIP_Label_5b2d7141-660b-44fa-b839-f6f280bdb246_SetDate" fmtid="{D5CDD505-2E9C-101B-9397-08002B2CF9AE}" pid="3">
    <vt:lpwstr>2022-03-08T10:47:02Z</vt:lpwstr>
  </property>
  <property name="MSIP_Label_5b2d7141-660b-44fa-b839-f6f280bdb246_Method" fmtid="{D5CDD505-2E9C-101B-9397-08002B2CF9AE}" pid="4">
    <vt:lpwstr>Privileged</vt:lpwstr>
  </property>
  <property name="MSIP_Label_5b2d7141-660b-44fa-b839-f6f280bdb246_Name" fmtid="{D5CDD505-2E9C-101B-9397-08002B2CF9AE}" pid="5">
    <vt:lpwstr>5b2d7141-660b-44fa-b839-f6f280bdb246</vt:lpwstr>
  </property>
  <property name="MSIP_Label_5b2d7141-660b-44fa-b839-f6f280bdb246_SiteId" fmtid="{D5CDD505-2E9C-101B-9397-08002B2CF9AE}" pid="6">
    <vt:lpwstr>85b9d911-1b7e-4594-9493-917522ed614d</vt:lpwstr>
  </property>
  <property name="MSIP_Label_5b2d7141-660b-44fa-b839-f6f280bdb246_ActionId" fmtid="{D5CDD505-2E9C-101B-9397-08002B2CF9AE}" pid="7">
    <vt:lpwstr>e0dd845d-36e7-4d5a-97ec-6d75c8cb4deb</vt:lpwstr>
  </property>
  <property name="MSIP_Label_5b2d7141-660b-44fa-b839-f6f280bdb246_ContentBits" fmtid="{D5CDD505-2E9C-101B-9397-08002B2CF9AE}" pid="8">
    <vt:lpwstr>0</vt:lpwstr>
  </property>
</Properties>
</file>